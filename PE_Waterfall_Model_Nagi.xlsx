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Capital_Calls" sheetId="2" state="visible" r:id="rId4"/>
    <sheet name="Deal_Tracker" sheetId="3" state="visible" r:id="rId5"/>
    <sheet name="European_Waterfall" sheetId="4" state="visible" r:id="rId6"/>
    <sheet name="American_Waterfall" sheetId="5" state="visible" r:id="rId7"/>
    <sheet name="Performance_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<sst xmlns="http://schemas.openxmlformats.org/spreadsheetml/2006/main" count="350" uniqueCount="314">
  <si>
    <t xml:space="preserve">PE / PRIVATE CREDIT FUND — MODEL ASSUMPTIONS</t>
  </si>
  <si>
    <t xml:space="preserve">FUND PARAMETERS</t>
  </si>
  <si>
    <t xml:space="preserve">Fund Name</t>
  </si>
  <si>
    <t xml:space="preserve">Alter Domus Private Credit Fund I  [Illustrative]</t>
  </si>
  <si>
    <t xml:space="preserve">Example only — for interview use</t>
  </si>
  <si>
    <t xml:space="preserve">Fund Currency</t>
  </si>
  <si>
    <t xml:space="preserve">£  (British Pounds Sterling)</t>
  </si>
  <si>
    <t xml:space="preserve">All figures in £</t>
  </si>
  <si>
    <t xml:space="preserve">Fund Size — Total Committed Capital</t>
  </si>
  <si>
    <t xml:space="preserve">Sum of all LP + GP commitments</t>
  </si>
  <si>
    <t xml:space="preserve">GP Commitment %</t>
  </si>
  <si>
    <t xml:space="preserve">GP commits 2% alongside LPs</t>
  </si>
  <si>
    <t xml:space="preserve">GP Commitment £</t>
  </si>
  <si>
    <t xml:space="preserve">Total LP Commitment £</t>
  </si>
  <si>
    <t xml:space="preserve">Fund Life (Years)</t>
  </si>
  <si>
    <t xml:space="preserve">Year 1 to Year 10</t>
  </si>
  <si>
    <t xml:space="preserve">Investment Period (Years)</t>
  </si>
  <si>
    <t xml:space="preserve">New investments made only in Years 1–5</t>
  </si>
  <si>
    <t xml:space="preserve">Fund Start Year</t>
  </si>
  <si>
    <t xml:space="preserve">FEE STRUCTURE</t>
  </si>
  <si>
    <t xml:space="preserve">Management Fee — Investment Period (Yrs 1–5)</t>
  </si>
  <si>
    <t xml:space="preserve">% of committed capital p.a.</t>
  </si>
  <si>
    <t xml:space="preserve">Management Fee — Harvest Period (Yrs 6–10)</t>
  </si>
  <si>
    <t xml:space="preserve">% of invested cost basis p.a.</t>
  </si>
  <si>
    <t xml:space="preserve">Other Fund Expenses (admin, legal, audit)</t>
  </si>
  <si>
    <t xml:space="preserve">WATERFALL PARAMETERS</t>
  </si>
  <si>
    <t xml:space="preserve">Preferred Return / Hurdle Rate</t>
  </si>
  <si>
    <t xml:space="preserve">Annual compounded return to LPs before GP earns carry</t>
  </si>
  <si>
    <t xml:space="preserve">Carried Interest — GP Share</t>
  </si>
  <si>
    <t xml:space="preserve">GP earns 20% of profits above the hurdle</t>
  </si>
  <si>
    <t xml:space="preserve">Carried Interest — LP Share</t>
  </si>
  <si>
    <t xml:space="preserve">GP Catch-up Rate</t>
  </si>
  <si>
    <t xml:space="preserve">100% = GP gets 100% of distrib. until it catches up to its full carry entitlement</t>
  </si>
  <si>
    <t xml:space="preserve">GP Catch-up Fraction (= Carry% ÷ LP Carry%)</t>
  </si>
  <si>
    <t xml:space="preserve">GP catch-up = this % × preferred return (ensures GP gets exactly 20% of total profits)</t>
  </si>
  <si>
    <t xml:space="preserve">Waterfall Type</t>
  </si>
  <si>
    <t xml:space="preserve">European (Whole-Fund)</t>
  </si>
  <si>
    <t xml:space="preserve">European: ALL LP capital + ALL preferred return returned before GP sees any carry</t>
  </si>
  <si>
    <t xml:space="preserve">American Waterfall also shown?</t>
  </si>
  <si>
    <t xml:space="preserve">Yes — see American Waterfall sheet</t>
  </si>
  <si>
    <t xml:space="preserve">Deal-by-deal carry; clawback reconciliation at fund end</t>
  </si>
  <si>
    <t xml:space="preserve">Clawback Provision</t>
  </si>
  <si>
    <t xml:space="preserve">Yes</t>
  </si>
  <si>
    <t xml:space="preserve">GP must return excess carry received under American vs European waterfall</t>
  </si>
  <si>
    <t xml:space="preserve">LP COMMITMENT TABLE</t>
  </si>
  <si>
    <t xml:space="preserve">Investor</t>
  </si>
  <si>
    <t xml:space="preserve">Commitment (£)</t>
  </si>
  <si>
    <t xml:space="preserve">% of Fund</t>
  </si>
  <si>
    <t xml:space="preserve">LP A</t>
  </si>
  <si>
    <t xml:space="preserve">LP B</t>
  </si>
  <si>
    <t xml:space="preserve">LP C</t>
  </si>
  <si>
    <t xml:space="preserve">LP D</t>
  </si>
  <si>
    <t xml:space="preserve">GP (General Partner)</t>
  </si>
  <si>
    <t xml:space="preserve">TOTAL COMMITTED</t>
  </si>
  <si>
    <t xml:space="preserve">CAPITAL CALL SCHEDULE</t>
  </si>
  <si>
    <t xml:space="preserve">Capital Call</t>
  </si>
  <si>
    <t xml:space="preserve">% of Commitment Called</t>
  </si>
  <si>
    <t xml:space="preserve">Notes</t>
  </si>
  <si>
    <t xml:space="preserve">Call 1 — Year 1  (Fund Inception)</t>
  </si>
  <si>
    <t xml:space="preserve">First deployment tranche; management fees begin accruing</t>
  </si>
  <si>
    <t xml:space="preserve">Call 2 — Year 2</t>
  </si>
  <si>
    <t xml:space="preserve">Second tranche; deals being sourced and signed</t>
  </si>
  <si>
    <t xml:space="preserve">Call 3 — Year 3</t>
  </si>
  <si>
    <t xml:space="preserve">Mid-investment-period tranche</t>
  </si>
  <si>
    <t xml:space="preserve">Call 4 — Year 4</t>
  </si>
  <si>
    <t xml:space="preserve">Late investment-period capital draw</t>
  </si>
  <si>
    <t xml:space="preserve">Call 5 — Year 5  (Final Draw)</t>
  </si>
  <si>
    <t xml:space="preserve">Final close; investment period ends; harvest period begins</t>
  </si>
  <si>
    <t xml:space="preserve">Total Capital Called</t>
  </si>
  <si>
    <t xml:space="preserve">Unfunded commitment = 5% (not called)</t>
  </si>
  <si>
    <t xml:space="preserve">CAPITAL CALL SCHEDULE — LP ACCOUNT TRACKING</t>
  </si>
  <si>
    <t xml:space="preserve">All amounts in £. Blue = inputs. Black = formulas. Commitment % drawn per call sourced from Assumptions sheet.</t>
  </si>
  <si>
    <t xml:space="preserve">Commitment
(£)</t>
  </si>
  <si>
    <t xml:space="preserve">Call 1
Yr 1  25%</t>
  </si>
  <si>
    <t xml:space="preserve">Call 2
Yr 2  25%</t>
  </si>
  <si>
    <t xml:space="preserve">Call 3
Yr 3  20%</t>
  </si>
  <si>
    <t xml:space="preserve">Call 4
Yr 4  20%</t>
  </si>
  <si>
    <t xml:space="preserve">Call 5
Yr 5  5%</t>
  </si>
  <si>
    <t xml:space="preserve">Total Called
(£)</t>
  </si>
  <si>
    <t xml:space="preserve">Unfunded
Commitment (£)</t>
  </si>
  <si>
    <t xml:space="preserve">GP</t>
  </si>
  <si>
    <t xml:space="preserve">TOTAL</t>
  </si>
  <si>
    <t xml:space="preserve">KEY CONCEPTS  |  Capital Call: A formal notice from the GP requiring LPs to transfer their committed capital on a specified date.  |  Unfunded Commitment: The portion of an LP's commitment not yet called.  |  LP account tracks: Contributed Capital, Unfunded Commitment, and (later) Distributions Received.</t>
  </si>
  <si>
    <t xml:space="preserve">DEAL TRACKER — PORTFOLIO INVESTMENTS</t>
  </si>
  <si>
    <t xml:space="preserve">Gross returns (before management fees and waterfall allocations). Preferred return per deal used as input in American Waterfall sheet.</t>
  </si>
  <si>
    <t xml:space="preserve">Deal / Company</t>
  </si>
  <si>
    <t xml:space="preserve">Sector</t>
  </si>
  <si>
    <t xml:space="preserve">Investment
Year</t>
  </si>
  <si>
    <t xml:space="preserve">£ Invested</t>
  </si>
  <si>
    <t xml:space="preserve">Exit
Year</t>
  </si>
  <si>
    <t xml:space="preserve">Holding
Period (Yrs)</t>
  </si>
  <si>
    <t xml:space="preserve">Exit Proceeds
/ NAV (£)</t>
  </si>
  <si>
    <t xml:space="preserve">Gross
MoIC</t>
  </si>
  <si>
    <t xml:space="preserve">Gross
IRR</t>
  </si>
  <si>
    <t xml:space="preserve">Status</t>
  </si>
  <si>
    <t xml:space="preserve">Deal 1 — Epsilon Holdings</t>
  </si>
  <si>
    <t xml:space="preserve">Healthcare</t>
  </si>
  <si>
    <t xml:space="preserve">Realised</t>
  </si>
  <si>
    <t xml:space="preserve">Deal 2 — Talon Credit</t>
  </si>
  <si>
    <t xml:space="preserve">Retail</t>
  </si>
  <si>
    <t xml:space="preserve">Realised  ⚠ Loss</t>
  </si>
  <si>
    <t xml:space="preserve">Deal 3 — Meridian Infra</t>
  </si>
  <si>
    <t xml:space="preserve">Infrastructure</t>
  </si>
  <si>
    <t xml:space="preserve">Deal 4 — Apex Logistics</t>
  </si>
  <si>
    <t xml:space="preserve">Industrials</t>
  </si>
  <si>
    <t xml:space="preserve">Deal 5 — Solaris Energy</t>
  </si>
  <si>
    <t xml:space="preserve">Energy</t>
  </si>
  <si>
    <t xml:space="preserve">Held</t>
  </si>
  <si>
    <t xml:space="preserve">Unrealised (NAV)</t>
  </si>
  <si>
    <t xml:space="preserve">TOTAL / FUND AGGREGATE</t>
  </si>
  <si>
    <t xml:space="preserve">All 5 deals combined</t>
  </si>
  <si>
    <t xml:space="preserve">PREFERRED RETURN REFERENCE — Per Deal (used in American Waterfall)  |  Formula: Invested × (POWER(1 + Hurdle, Holding Years) − 1)</t>
  </si>
  <si>
    <t xml:space="preserve">Deal</t>
  </si>
  <si>
    <t xml:space="preserve">Holding Yrs</t>
  </si>
  <si>
    <t xml:space="preserve">Hurdle Rate</t>
  </si>
  <si>
    <t xml:space="preserve">Preferred Return (£)</t>
  </si>
  <si>
    <t xml:space="preserve">Compounded preferred return accrued on invested capital over holding period</t>
  </si>
  <si>
    <t xml:space="preserve">EUROPEAN WATERFALL — WHOLE-FUND BASIS</t>
  </si>
  <si>
    <t xml:space="preserve">European Waterfall: GP earns NO carried interest until ALL LP capital across the ENTIRE fund has been returned PLUS full preferred return earned. This is the LP-friendly structure — it protects investors from early exits subsidising GP carry while later deals underperform.</t>
  </si>
  <si>
    <t xml:space="preserve">SECTION A  —  FUND-LEVEL CASH FLOWS</t>
  </si>
  <si>
    <t xml:space="preserve">Line Item</t>
  </si>
  <si>
    <t xml:space="preserve">£  Amount</t>
  </si>
  <si>
    <t xml:space="preserve">% of Capital Called</t>
  </si>
  <si>
    <t xml:space="preserve">Notes / Formula</t>
  </si>
  <si>
    <t xml:space="preserve">Total LP Committed Capital</t>
  </si>
  <si>
    <t xml:space="preserve">LP only (excl. GP)</t>
  </si>
  <si>
    <t xml:space="preserve">GP Committed Capital</t>
  </si>
  <si>
    <t xml:space="preserve">2% GP commitment</t>
  </si>
  <si>
    <t xml:space="preserve">TOTAL Fund Committed Capital</t>
  </si>
  <si>
    <t xml:space="preserve">% of Commitment Actually Called</t>
  </si>
  <si>
    <t xml:space="preserve">95% (5% uncalled)</t>
  </si>
  <si>
    <t xml:space="preserve">LP Capital Contributed (Called — Tier 1 Basis)</t>
  </si>
  <si>
    <t xml:space="preserve">Capital Deployed into Deals</t>
  </si>
  <si>
    <t xml:space="preserve">Management Fees Paid (est.)</t>
  </si>
  <si>
    <t xml:space="preserve">Inv period: 2%×£100m×5yrs + Harvest: 1.5%×£82m×5yrs</t>
  </si>
  <si>
    <t xml:space="preserve">SECTION B  —  FUND PROCEEDS</t>
  </si>
  <si>
    <t xml:space="preserve">Item</t>
  </si>
  <si>
    <t xml:space="preserve">£ Amount</t>
  </si>
  <si>
    <t xml:space="preserve">Source</t>
  </si>
  <si>
    <t xml:space="preserve">Total Exit Proceeds (Realised — Deals 1–4)</t>
  </si>
  <si>
    <t xml:space="preserve">Deal Tracker</t>
  </si>
  <si>
    <t xml:space="preserve">Sum of realised exit proceeds</t>
  </si>
  <si>
    <t xml:space="preserve">Unrealised NAV — Deal 5 (Held at Current Value)</t>
  </si>
  <si>
    <t xml:space="preserve">Marked to current fair value; treated as distributable for waterfall calc</t>
  </si>
  <si>
    <t xml:space="preserve">GROSS TOTAL PROCEEDS (Realised + NAV)</t>
  </si>
  <si>
    <t xml:space="preserve">SECTION C  —  PREFERRED RETURN CALCULATION</t>
  </si>
  <si>
    <t xml:space="preserve">Preferred Return = LP Capital Called per tranche × (POWER(1 + Hurdle, Years Outstanding) − 1)  |  Each tranche runs from its call year until fund end (Year 10).</t>
  </si>
  <si>
    <t xml:space="preserve">Capital Call Tranche</t>
  </si>
  <si>
    <t xml:space="preserve">LP Capital Called (£)</t>
  </si>
  <si>
    <t xml:space="preserve">Years Outstanding</t>
  </si>
  <si>
    <t xml:space="preserve">Preferred Return Earned (£)</t>
  </si>
  <si>
    <t xml:space="preserve">Call 1 — Year 1</t>
  </si>
  <si>
    <t xml:space="preserve">Call 5 — Year 5</t>
  </si>
  <si>
    <t xml:space="preserve">TOTAL PREFERRED RETURN OWED TO LPs</t>
  </si>
  <si>
    <t xml:space="preserve">SECTION D  —  WATERFALL DISTRIBUTION  (European / Whole-Fund)</t>
  </si>
  <si>
    <t xml:space="preserve">Waterfall Tier</t>
  </si>
  <si>
    <t xml:space="preserve">Total Amount (£)</t>
  </si>
  <si>
    <t xml:space="preserve">To LP (£)</t>
  </si>
  <si>
    <t xml:space="preserve">To GP (£)</t>
  </si>
  <si>
    <t xml:space="preserve">Available for Distribution = Total Gross Proceeds</t>
  </si>
  <si>
    <t xml:space="preserve">TIER 1  —  Return of LP Contributed Capital</t>
  </si>
  <si>
    <t xml:space="preserve">↳  LPs receive back 100% of contributed capital before GP gets anything. Tier 1 amount = MIN(Total Proceeds, LP Capital Contributed).</t>
  </si>
  <si>
    <t xml:space="preserve">Remaining After Tier 1</t>
  </si>
  <si>
    <t xml:space="preserve">TIER 2  —  Preferred Return (8% p.a. Compounded)</t>
  </si>
  <si>
    <t xml:space="preserve">↳  LPs earn 8% p.a. compounded on all capital called, per tranche, from call date to fund end. Tier 2 = MIN(Remaining, Total Preferred Return Owed).</t>
  </si>
  <si>
    <t xml:space="preserve">Remaining After Tier 2</t>
  </si>
  <si>
    <t xml:space="preserve">TIER 3  —  GP Catch-Up (100%)</t>
  </si>
  <si>
    <t xml:space="preserve">↳  GP Catch-up = MIN(Remaining, 25% × Preferred Return)  |  The 25% = Carry% ÷ LP_Share (20%÷80%)  |  This gives GP exactly 20% of total profits (Preferred Return + Super-Profit) before the Tier 4 split.</t>
  </si>
  <si>
    <t xml:space="preserve">Remaining After Tier 3</t>
  </si>
  <si>
    <t xml:space="preserve">TIER 4  —  Carried Interest Split (80% LP / 20% GP)</t>
  </si>
  <si>
    <t xml:space="preserve">↳  Remaining super-profit (above capital + hurdle) split 80% to LPs and 20% to GP as carried interest. LP% = 1 − Carry%.</t>
  </si>
  <si>
    <t xml:space="preserve">SECTION E  —  WATERFALL SUMMARY &amp; RECONCILIATION</t>
  </si>
  <si>
    <t xml:space="preserve">Total Distributed (£)</t>
  </si>
  <si>
    <t xml:space="preserve">LP Receives (£)</t>
  </si>
  <si>
    <t xml:space="preserve">GP Receives (£)</t>
  </si>
  <si>
    <t xml:space="preserve">Tier 1 — Return of Capital</t>
  </si>
  <si>
    <t xml:space="preserve">Tier 2 — Preferred Return</t>
  </si>
  <si>
    <t xml:space="preserve">Tier 3 — GP Catch-up</t>
  </si>
  <si>
    <t xml:space="preserve">Tier 4 — Carried Interest Split</t>
  </si>
  <si>
    <t xml:space="preserve">TOTAL DISTRIBUTIONS</t>
  </si>
  <si>
    <t xml:space="preserve">CHECK: Total = Gross Proceeds (must be zero)</t>
  </si>
  <si>
    <t xml:space="preserve">SECTION F  —  LP &amp; GP ECONOMICS SUMMARY</t>
  </si>
  <si>
    <t xml:space="preserve">Key metrics showing how the waterfall allocates total fund returns between LPs and the GP (General Partner).</t>
  </si>
  <si>
    <t xml:space="preserve">Total LP Capital Contributed</t>
  </si>
  <si>
    <t xml:space="preserve">LP capital actually called from LPs</t>
  </si>
  <si>
    <t xml:space="preserve">Total LP Distributions Received</t>
  </si>
  <si>
    <t xml:space="preserve">All 4 tiers combined (European)</t>
  </si>
  <si>
    <t xml:space="preserve">LP Net Profit (above capital)</t>
  </si>
  <si>
    <t xml:space="preserve">Absolute profit to LPs</t>
  </si>
  <si>
    <t xml:space="preserve">LP Return Multiple (MOIC proxy)</t>
  </si>
  <si>
    <t xml:space="preserve">Total LP value per GBP1 of capital called</t>
  </si>
  <si>
    <t xml:space="preserve">Total GP Carry (Tier 3 + Tier 4)</t>
  </si>
  <si>
    <t xml:space="preserve">Catch-up + 80/20 carry split</t>
  </si>
  <si>
    <t xml:space="preserve">GP Share of Total Fund Profit (%)</t>
  </si>
  <si>
    <t xml:space="preserve">Should equal 20% -- confirms waterfall maths</t>
  </si>
  <si>
    <t xml:space="preserve">LP Share of Total Fund Profit (%)</t>
  </si>
  <si>
    <t xml:space="preserve">Should equal 80%</t>
  </si>
  <si>
    <t xml:space="preserve">AMERICAN WATERFALL — DEAL-BY-DEAL BASIS</t>
  </si>
  <si>
    <t xml:space="preserve">American Waterfall: carried interest is calculated and distributed after EACH individual deal exits — GP earns carry deal-by-deal regardless of whether the overall fund has returned LP capital. GP-friendly; requires a clawback provision to correct overpayment at fund end.</t>
  </si>
  <si>
    <t xml:space="preserve">Deal 1
Epsilon (£)</t>
  </si>
  <si>
    <t xml:space="preserve">Deal 2
Talon (£)</t>
  </si>
  <si>
    <t xml:space="preserve">Deal 3
Meridian (£)</t>
  </si>
  <si>
    <t xml:space="preserve">Deal 4
Apex (£)</t>
  </si>
  <si>
    <t xml:space="preserve">Deal 5
Solaris (£)</t>
  </si>
  <si>
    <t xml:space="preserve">TOTAL
All Deals (£)</t>
  </si>
  <si>
    <t xml:space="preserve">INPUTS  (from Deal Tracker)</t>
  </si>
  <si>
    <t xml:space="preserve">Exit Proceeds / NAV (£)</t>
  </si>
  <si>
    <t xml:space="preserve">Total gross proceeds per deal</t>
  </si>
  <si>
    <t xml:space="preserve">Capital deployed</t>
  </si>
  <si>
    <t xml:space="preserve">Holding Period (Years)</t>
  </si>
  <si>
    <t xml:space="preserve">—</t>
  </si>
  <si>
    <t xml:space="preserve">Preferred Return per Deal (£)</t>
  </si>
  <si>
    <t xml:space="preserve">From Deal Tracker preferred return table</t>
  </si>
  <si>
    <t xml:space="preserve">WATERFALL CALCULATION  (each deal independently)</t>
  </si>
  <si>
    <t xml:space="preserve">TIER 1  —  Return of LP Capital</t>
  </si>
  <si>
    <t xml:space="preserve">MIN(Proceeds, Capital Invested) — LP gets back invested capital first</t>
  </si>
  <si>
    <t xml:space="preserve">Available for preferred return</t>
  </si>
  <si>
    <t xml:space="preserve">TIER 2  —  Preferred Return (8% Compounded)</t>
  </si>
  <si>
    <t xml:space="preserve">MIN(Remaining, PR Earned) — 0 if deal returned less than capital</t>
  </si>
  <si>
    <t xml:space="preserve">Super-profit available for GP catch-up</t>
  </si>
  <si>
    <t xml:space="preserve">TIER 3  —  GP Catch-up (100% to GP)</t>
  </si>
  <si>
    <t xml:space="preserve">MIN(Remaining, 25% × PR) — GP earns 25% of PR to reach 20% of total profit</t>
  </si>
  <si>
    <t xml:space="preserve">Final super-profit for 80/20 split</t>
  </si>
  <si>
    <t xml:space="preserve">TIER 4  —  Carried Interest Split  (80% LP  /  20% GP)</t>
  </si>
  <si>
    <t xml:space="preserve">  LP Share (80%)</t>
  </si>
  <si>
    <t xml:space="preserve">  GP Share (20% Carry)</t>
  </si>
  <si>
    <t xml:space="preserve">DISTRIBUTION SUMMARY PER DEAL</t>
  </si>
  <si>
    <t xml:space="preserve">Total to LP  (T1+T2+T4_LP)</t>
  </si>
  <si>
    <t xml:space="preserve">Total to GP  (T3+T4_GP)</t>
  </si>
  <si>
    <t xml:space="preserve">GP's carry per deal</t>
  </si>
  <si>
    <t xml:space="preserve">CHECK  (should = Proceeds)</t>
  </si>
  <si>
    <t xml:space="preserve">Must be zero for every deal</t>
  </si>
  <si>
    <t xml:space="preserve">AMERICAN vs EUROPEAN COMPARISON — CLAWBACK ANALYSIS</t>
  </si>
  <si>
    <t xml:space="preserve">At fund end, if GP received MORE carry under American waterfall (deal-by-deal) than it was entitled to under European (whole-fund), it must return the excess to LPs — this is the CLAWBACK. Deal 2 (Talon — loss deal) earns no carry; but the GP already banked carry from Deals 1 &amp; 3 under American rules. European waterfall forces netting across the whole portfolio.</t>
  </si>
  <si>
    <t xml:space="preserve">Metric</t>
  </si>
  <si>
    <t xml:space="preserve">GP Total Carry — American Waterfall (Deal-by-Deal)</t>
  </si>
  <si>
    <t xml:space="preserve">Sum of GP carry across all 5 deals above</t>
  </si>
  <si>
    <t xml:space="preserve">GP Total Carry — European Waterfall (Whole-Fund)</t>
  </si>
  <si>
    <t xml:space="preserve">From European Waterfall sheet</t>
  </si>
  <si>
    <t xml:space="preserve">CLAWBACK AMOUNT (GP must return to LPs)</t>
  </si>
  <si>
    <t xml:space="preserve">Only triggered if American &gt; European; never negative</t>
  </si>
  <si>
    <t xml:space="preserve">Net GP Carry After Clawback</t>
  </si>
  <si>
    <t xml:space="preserve">Should equal European waterfall GP carry</t>
  </si>
  <si>
    <t xml:space="preserve">CHECK: Net GP = European GP Carry</t>
  </si>
  <si>
    <t xml:space="preserve">Must equal zero</t>
  </si>
  <si>
    <t xml:space="preserve">FUND PERFORMANCE METRICS — DASHBOARD</t>
  </si>
  <si>
    <t xml:space="preserve">Performance metrics measure the total return of the fund from LP perspective. TVPI = how much money LPs get back per £1 invested. DPI = realised multiple. RVPI = unrealised. IRR = compound annual return. These are the standard metrics Alter Domus and all PE administrators report.</t>
  </si>
  <si>
    <t xml:space="preserve">SECTION A  —  FUND-LEVEL MULTIPLES  (TVPI / DPI / RVPI)</t>
  </si>
  <si>
    <t xml:space="preserve">Value</t>
  </si>
  <si>
    <t xml:space="preserve">Formula / Explanation</t>
  </si>
  <si>
    <t xml:space="preserve">Total LP Capital Contributed (Called-In Capital)</t>
  </si>
  <si>
    <t xml:space="preserve">LP commitments × 95% called. This is the denominator for all per-£ metrics.</t>
  </si>
  <si>
    <t xml:space="preserve">Realised Proceeds (Deals 1–4)</t>
  </si>
  <si>
    <t xml:space="preserve">Exit proceeds actually received; cash in LP bank accounts</t>
  </si>
  <si>
    <t xml:space="preserve">Unrealised NAV (Deal 5 — Solaris)</t>
  </si>
  <si>
    <t xml:space="preserve">Marked at current fair value (Level 3 in IFRS 13 hierarchy for private assets)</t>
  </si>
  <si>
    <t xml:space="preserve">Total Value (Realised + Unrealised)</t>
  </si>
  <si>
    <t xml:space="preserve">Total distributions + remaining NAV</t>
  </si>
  <si>
    <t xml:space="preserve">TVPI  (Total Value to Paid-In)</t>
  </si>
  <si>
    <t xml:space="preserve">Formula: Total Value / LP Capital Called. Best overall return summary.</t>
  </si>
  <si>
    <t xml:space="preserve">DPI  (Distributions to Paid-In)</t>
  </si>
  <si>
    <t xml:space="preserve">Formula: Realised Proceeds / LP Capital. Cash-on-cash; money actually received by LPs.</t>
  </si>
  <si>
    <t xml:space="preserve">RVPI  (Residual Value to Paid-In)</t>
  </si>
  <si>
    <t xml:space="preserve">Formula: Unrealised NAV / LP Capital. Paper value still in fund; subject to Level 3 valuation.</t>
  </si>
  <si>
    <t xml:space="preserve">CHECK:  TVPI = DPI + RVPI</t>
  </si>
  <si>
    <t xml:space="preserve">Must be zero — confirms TVPI = DPI + RVPI identity holds.</t>
  </si>
  <si>
    <t xml:space="preserve">SECTION B  —  FUND IRR  (Approximation Using Annual Cash Flows)</t>
  </si>
  <si>
    <t xml:space="preserve">Description</t>
  </si>
  <si>
    <t xml:space="preserve">Explanation</t>
  </si>
  <si>
    <t xml:space="preserve">IRR = the discount rate at which the NPV of all LP cash flows (calls out, distributions in) equals zero. Below, LP cash flows are set up year by year. The IRR() function in Excel solves for this rate. For precise results, use XIRR() with actual dates.</t>
  </si>
  <si>
    <t xml:space="preserve">Year</t>
  </si>
  <si>
    <t xml:space="preserve">LP Capital Called
(outflow, negative)</t>
  </si>
  <si>
    <t xml:space="preserve">LP Distributions
(inflow, positive)</t>
  </si>
  <si>
    <t xml:space="preserve">Net LP Cash Flow</t>
  </si>
  <si>
    <t xml:space="preserve">Year 1</t>
  </si>
  <si>
    <t xml:space="preserve">Deal 1: capital call Yr1</t>
  </si>
  <si>
    <t xml:space="preserve">Year 2</t>
  </si>
  <si>
    <t xml:space="preserve">Deal 2: capital call Yr2</t>
  </si>
  <si>
    <t xml:space="preserve">Year 3</t>
  </si>
  <si>
    <t xml:space="preserve">Year 4</t>
  </si>
  <si>
    <t xml:space="preserve">Deal 1 exits (LP share)</t>
  </si>
  <si>
    <t xml:space="preserve">Year 5</t>
  </si>
  <si>
    <t xml:space="preserve">Deal 2 exits (LP share, loss deal)</t>
  </si>
  <si>
    <t xml:space="preserve">Year 6</t>
  </si>
  <si>
    <t xml:space="preserve">No exits Year 6</t>
  </si>
  <si>
    <t xml:space="preserve">Year 7</t>
  </si>
  <si>
    <t xml:space="preserve">Deal 3 exits</t>
  </si>
  <si>
    <t xml:space="preserve">Year 8</t>
  </si>
  <si>
    <t xml:space="preserve">Deal 4 exits</t>
  </si>
  <si>
    <t xml:space="preserve">Year 9</t>
  </si>
  <si>
    <t xml:space="preserve">Year 10</t>
  </si>
  <si>
    <t xml:space="preserve">Deal 5 exit/NAV (fund end)</t>
  </si>
  <si>
    <t xml:space="preserve">FUND IRR  (LP Perspective)</t>
  </si>
  <si>
    <t xml:space="preserve">IRR on LP net cash flows (calls negative, distributions positive) — compound annual return</t>
  </si>
  <si>
    <t xml:space="preserve">SECTION C  —  EUROPEAN vs AMERICAN WATERFALL COMPARISON</t>
  </si>
  <si>
    <t xml:space="preserve">European Waterfall</t>
  </si>
  <si>
    <t xml:space="preserve">American Waterfall</t>
  </si>
  <si>
    <t xml:space="preserve">Difference (Am − Eu)</t>
  </si>
  <si>
    <t xml:space="preserve">Total LP Distributions</t>
  </si>
  <si>
    <t xml:space="preserve">Total GP Carry</t>
  </si>
  <si>
    <t xml:space="preserve">GP Clawback Required</t>
  </si>
  <si>
    <t xml:space="preserve">GP Net Carry (after Clawback)</t>
  </si>
  <si>
    <t xml:space="preserve">GP % of Total Profit</t>
  </si>
  <si>
    <t xml:space="preserve">KEY TALKING POINTS FOR INTERVIEWS</t>
  </si>
  <si>
    <t xml:space="preserve">1.  TVPI &gt; 2.0x indicates strong fund performance; LP doubled their money on a total-value basis.</t>
  </si>
  <si>
    <t xml:space="preserve">2.  DPI is the 'proof of concept' metric — it measures cash actually returned to LPs, not paper gains.</t>
  </si>
  <si>
    <t xml:space="preserve">3.  RVPI decreases as deals are realised; a healthy fund sees DPI rise and RVPI fall over its life.</t>
  </si>
  <si>
    <t xml:space="preserve">4.  European waterfall protects LPs — GP cannot earn carry from one good deal while hiding losses in others.</t>
  </si>
  <si>
    <t xml:space="preserve">5.  American waterfall benefits GP cash flow but requires a clawback clause to prevent LP overpayment risk.</t>
  </si>
  <si>
    <t xml:space="preserve">6.  The clawback shows why GPs in American structures may have to hold carry in escrow during fund life.</t>
  </si>
  <si>
    <t xml:space="preserve">7.  IRR penalises slow capital return — early exits improve IRR disproportionately (explains J-curve shape).</t>
  </si>
  <si>
    <t xml:space="preserve">8.  The J-curve: early years negative IRR (capital called, fees paid, no exits); later years strongly positive.</t>
  </si>
  <si>
    <t xml:space="preserve">9.  Management fees are typically funded from LP capital calls — not a separate fee outside the waterfall.</t>
  </si>
  <si>
    <t xml:space="preserve">10.  IFRS 13: private equity investments are Level 3 — unobservable inputs; valued using comparable multiples.</t>
  </si>
</sst>
</file>

<file path=xl/styles.xml><?xml version="1.0" encoding="utf-8"?>
<styleSheet xmlns="http://schemas.openxmlformats.org/spreadsheetml/2006/main">
  <numFmts count="8">
    <numFmt numFmtId="164" formatCode="General"/>
    <numFmt numFmtId="165" formatCode="#,##0"/>
    <numFmt numFmtId="166" formatCode="0.0%"/>
    <numFmt numFmtId="167" formatCode="0"/>
    <numFmt numFmtId="168" formatCode="0000"/>
    <numFmt numFmtId="169" formatCode="0%"/>
    <numFmt numFmtId="170" formatCode="0.00\x"/>
    <numFmt numFmtId="171" formatCode="0.00\x"/>
  </numFmts>
  <fonts count="26">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10"/>
      <color rgb="FF000000"/>
      <name val="Arial"/>
      <family val="0"/>
      <charset val="1"/>
    </font>
    <font>
      <b val="true"/>
      <sz val="10"/>
      <color rgb="FF0000FF"/>
      <name val="Arial"/>
      <family val="0"/>
      <charset val="1"/>
    </font>
    <font>
      <i val="true"/>
      <sz val="9"/>
      <color rgb="FF595959"/>
      <name val="Arial"/>
      <family val="0"/>
      <charset val="1"/>
    </font>
    <font>
      <b val="true"/>
      <sz val="10"/>
      <color rgb="FF000000"/>
      <name val="Arial"/>
      <family val="0"/>
      <charset val="1"/>
    </font>
    <font>
      <b val="true"/>
      <sz val="9"/>
      <color rgb="FFFFFFFF"/>
      <name val="Arial"/>
      <family val="0"/>
      <charset val="1"/>
    </font>
    <font>
      <b val="true"/>
      <sz val="10"/>
      <color rgb="FF008000"/>
      <name val="Arial"/>
      <family val="0"/>
      <charset val="1"/>
    </font>
    <font>
      <i val="true"/>
      <sz val="9"/>
      <color rgb="FFFFFFFF"/>
      <name val="Arial"/>
      <family val="0"/>
      <charset val="1"/>
    </font>
    <font>
      <sz val="10"/>
      <color rgb="FF008000"/>
      <name val="Arial"/>
      <family val="0"/>
      <charset val="1"/>
    </font>
    <font>
      <i val="true"/>
      <sz val="10"/>
      <color rgb="FF595959"/>
      <name val="Arial"/>
      <family val="0"/>
      <charset val="1"/>
    </font>
    <font>
      <i val="true"/>
      <sz val="10"/>
      <color rgb="FF000000"/>
      <name val="Arial"/>
      <family val="0"/>
      <charset val="1"/>
    </font>
    <font>
      <sz val="10"/>
      <color rgb="FFFFFFFF"/>
      <name val="Arial"/>
      <family val="0"/>
      <charset val="1"/>
    </font>
    <font>
      <b val="true"/>
      <sz val="14"/>
      <color rgb="FFFFFFFF"/>
      <name val="Arial"/>
      <family val="0"/>
      <charset val="1"/>
    </font>
    <font>
      <i val="true"/>
      <sz val="8"/>
      <color rgb="FF595959"/>
      <name val="Arial"/>
      <family val="0"/>
      <charset val="1"/>
    </font>
    <font>
      <sz val="9"/>
      <color rgb="FF595959"/>
      <name val="Arial"/>
      <family val="0"/>
      <charset val="1"/>
    </font>
    <font>
      <sz val="9"/>
      <color rgb="FF000000"/>
      <name val="Arial"/>
      <family val="0"/>
      <charset val="1"/>
    </font>
    <font>
      <sz val="10"/>
      <color rgb="FF595959"/>
      <name val="Arial"/>
      <family val="0"/>
      <charset val="1"/>
    </font>
    <font>
      <sz val="12"/>
      <color rgb="FF008000"/>
      <name val="Arial"/>
      <family val="0"/>
      <charset val="1"/>
    </font>
    <font>
      <sz val="12"/>
      <color rgb="FF000000"/>
      <name val="Arial"/>
      <family val="0"/>
      <charset val="1"/>
    </font>
    <font>
      <b val="true"/>
      <sz val="12"/>
      <color rgb="FF000000"/>
      <name val="Arial"/>
      <family val="0"/>
      <charset val="1"/>
    </font>
    <font>
      <b val="true"/>
      <sz val="11"/>
      <color rgb="FFFFFFFF"/>
      <name val="Arial"/>
      <family val="0"/>
      <charset val="1"/>
    </font>
  </fonts>
  <fills count="11">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DCE6F1"/>
        <bgColor rgb="FFE2EFDA"/>
      </patternFill>
    </fill>
    <fill>
      <patternFill patternType="solid">
        <fgColor rgb="FF2E5FA3"/>
        <bgColor rgb="FF3366FF"/>
      </patternFill>
    </fill>
    <fill>
      <patternFill patternType="solid">
        <fgColor rgb="FFFFFFFF"/>
        <bgColor rgb="FFF2F2F2"/>
      </patternFill>
    </fill>
    <fill>
      <patternFill patternType="solid">
        <fgColor rgb="FFFFF2CC"/>
        <bgColor rgb="FFFCE4D6"/>
      </patternFill>
    </fill>
    <fill>
      <patternFill patternType="solid">
        <fgColor rgb="FFFCE4D6"/>
        <bgColor rgb="FFFFF2CC"/>
      </patternFill>
    </fill>
    <fill>
      <patternFill patternType="solid">
        <fgColor rgb="FFD9D9D9"/>
        <bgColor rgb="FFDCE6F1"/>
      </patternFill>
    </fill>
    <fill>
      <patternFill patternType="solid">
        <fgColor rgb="FFE2EFDA"/>
        <bgColor rgb="FFDCE6F1"/>
      </patternFill>
    </fill>
  </fills>
  <borders count="3">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1" shrinkToFit="false"/>
      <protection locked="true" hidden="false"/>
    </xf>
    <xf numFmtId="164" fontId="6" fillId="3" borderId="2" xfId="0" applyFont="true" applyBorder="true" applyAlignment="true" applyProtection="false">
      <alignment horizontal="left" vertical="center" textRotation="0" wrapText="true" indent="1" shrinkToFit="false"/>
      <protection locked="true" hidden="false"/>
    </xf>
    <xf numFmtId="164" fontId="7" fillId="4" borderId="2" xfId="0" applyFont="true" applyBorder="true" applyAlignment="true" applyProtection="false">
      <alignment horizontal="right" vertical="center" textRotation="0" wrapText="false" indent="0" shrinkToFit="false"/>
      <protection locked="true" hidden="false"/>
    </xf>
    <xf numFmtId="164" fontId="8" fillId="3" borderId="2" xfId="0" applyFont="true" applyBorder="true" applyAlignment="true" applyProtection="false">
      <alignment horizontal="left" vertical="center" textRotation="0" wrapText="true" indent="1" shrinkToFit="false"/>
      <protection locked="true" hidden="false"/>
    </xf>
    <xf numFmtId="165" fontId="7" fillId="4" borderId="2" xfId="0" applyFont="true" applyBorder="true" applyAlignment="true" applyProtection="false">
      <alignment horizontal="right" vertical="center" textRotation="0" wrapText="false" indent="0" shrinkToFit="false"/>
      <protection locked="true" hidden="false"/>
    </xf>
    <xf numFmtId="166" fontId="7" fillId="4" borderId="2" xfId="0" applyFont="true" applyBorder="true" applyAlignment="true" applyProtection="false">
      <alignment horizontal="right" vertical="center" textRotation="0" wrapText="false" indent="0" shrinkToFit="false"/>
      <protection locked="true" hidden="false"/>
    </xf>
    <xf numFmtId="165" fontId="9" fillId="3" borderId="2" xfId="0" applyFont="true" applyBorder="true" applyAlignment="true" applyProtection="false">
      <alignment horizontal="right" vertical="center" textRotation="0" wrapText="false" indent="0" shrinkToFit="false"/>
      <protection locked="true" hidden="false"/>
    </xf>
    <xf numFmtId="167" fontId="7" fillId="4" borderId="2" xfId="0" applyFont="true" applyBorder="true" applyAlignment="true" applyProtection="false">
      <alignment horizontal="right" vertical="center" textRotation="0" wrapText="false" indent="0" shrinkToFit="false"/>
      <protection locked="true" hidden="false"/>
    </xf>
    <xf numFmtId="168" fontId="7" fillId="4" borderId="2" xfId="0" applyFont="true" applyBorder="true" applyAlignment="true" applyProtection="false">
      <alignment horizontal="right" vertical="center" textRotation="0" wrapText="false" indent="0" shrinkToFit="false"/>
      <protection locked="true" hidden="false"/>
    </xf>
    <xf numFmtId="166" fontId="9" fillId="3" borderId="2" xfId="0" applyFont="true" applyBorder="true" applyAlignment="true" applyProtection="false">
      <alignment horizontal="right" vertical="center" textRotation="0" wrapText="false" indent="0" shrinkToFit="false"/>
      <protection locked="true" hidden="false"/>
    </xf>
    <xf numFmtId="169" fontId="7" fillId="4" borderId="2" xfId="0" applyFont="true" applyBorder="true" applyAlignment="true" applyProtection="false">
      <alignment horizontal="right" vertical="center" textRotation="0" wrapText="false" indent="0" shrinkToFit="false"/>
      <protection locked="true" hidden="false"/>
    </xf>
    <xf numFmtId="164" fontId="10" fillId="5" borderId="2" xfId="0" applyFont="true" applyBorder="true" applyAlignment="true" applyProtection="false">
      <alignment horizontal="center" vertical="center" textRotation="0" wrapText="true" indent="0" shrinkToFit="false"/>
      <protection locked="true" hidden="false"/>
    </xf>
    <xf numFmtId="166" fontId="6" fillId="6" borderId="2" xfId="0" applyFont="true" applyBorder="true" applyAlignment="true" applyProtection="false">
      <alignment horizontal="center" vertical="center" textRotation="0" wrapText="true" indent="0" shrinkToFit="false"/>
      <protection locked="true" hidden="false"/>
    </xf>
    <xf numFmtId="165" fontId="11" fillId="6" borderId="2" xfId="0" applyFont="true" applyBorder="true" applyAlignment="true" applyProtection="false">
      <alignment horizontal="right" vertical="center" textRotation="0" wrapText="false" indent="0" shrinkToFit="false"/>
      <protection locked="true" hidden="false"/>
    </xf>
    <xf numFmtId="164" fontId="5" fillId="2" borderId="2" xfId="0" applyFont="true" applyBorder="true" applyAlignment="true" applyProtection="false">
      <alignment horizontal="left" vertical="center" textRotation="0" wrapText="true" indent="1" shrinkToFit="false"/>
      <protection locked="true" hidden="false"/>
    </xf>
    <xf numFmtId="165" fontId="5" fillId="2" borderId="2" xfId="0" applyFont="true" applyBorder="true" applyAlignment="true" applyProtection="false">
      <alignment horizontal="right" vertical="center" textRotation="0" wrapText="false" indent="0" shrinkToFit="false"/>
      <protection locked="true" hidden="false"/>
    </xf>
    <xf numFmtId="166" fontId="5" fillId="2" borderId="2" xfId="0" applyFont="true" applyBorder="true" applyAlignment="true" applyProtection="false">
      <alignment horizontal="center" vertical="center" textRotation="0" wrapText="true" indent="0" shrinkToFit="false"/>
      <protection locked="true" hidden="false"/>
    </xf>
    <xf numFmtId="169" fontId="7" fillId="4" borderId="2" xfId="0" applyFont="true" applyBorder="true" applyAlignment="true" applyProtection="false">
      <alignment horizontal="center" vertical="center" textRotation="0" wrapText="true" indent="0" shrinkToFit="false"/>
      <protection locked="true" hidden="false"/>
    </xf>
    <xf numFmtId="169" fontId="5" fillId="2" borderId="2" xfId="0" applyFont="true" applyBorder="true" applyAlignment="true" applyProtection="false">
      <alignment horizontal="center" vertical="center" textRotation="0" wrapText="true" indent="0" shrinkToFit="false"/>
      <protection locked="true" hidden="false"/>
    </xf>
    <xf numFmtId="164" fontId="12" fillId="2" borderId="2" xfId="0" applyFont="true" applyBorder="true" applyAlignment="true" applyProtection="false">
      <alignment horizontal="left" vertical="center" textRotation="0" wrapText="true" indent="1" shrinkToFit="false"/>
      <protection locked="true" hidden="false"/>
    </xf>
    <xf numFmtId="164" fontId="8" fillId="3" borderId="1" xfId="0" applyFont="true" applyBorder="true" applyAlignment="true" applyProtection="false">
      <alignment horizontal="left" vertical="center" textRotation="0" wrapText="true" indent="1"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5" fontId="13" fillId="6" borderId="2" xfId="0" applyFont="true" applyBorder="true" applyAlignment="true" applyProtection="false">
      <alignment horizontal="right" vertical="center" textRotation="0" wrapText="false" indent="0" shrinkToFit="false"/>
      <protection locked="true" hidden="false"/>
    </xf>
    <xf numFmtId="165" fontId="6" fillId="3" borderId="2" xfId="0" applyFont="true" applyBorder="true" applyAlignment="true" applyProtection="false">
      <alignment horizontal="right" vertical="center" textRotation="0" wrapText="false" indent="0" shrinkToFit="false"/>
      <protection locked="true" hidden="false"/>
    </xf>
    <xf numFmtId="164" fontId="6" fillId="6" borderId="2" xfId="0" applyFont="true" applyBorder="true" applyAlignment="true" applyProtection="false">
      <alignment horizontal="left" vertical="center" textRotation="0" wrapText="true" indent="1" shrinkToFit="false"/>
      <protection locked="true" hidden="false"/>
    </xf>
    <xf numFmtId="165" fontId="6" fillId="6" borderId="2" xfId="0" applyFont="true" applyBorder="true" applyAlignment="true" applyProtection="false">
      <alignment horizontal="right"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true" indent="1" shrinkToFit="false"/>
      <protection locked="true" hidden="false"/>
    </xf>
    <xf numFmtId="164" fontId="9" fillId="3" borderId="2" xfId="0" applyFont="true" applyBorder="true" applyAlignment="true" applyProtection="false">
      <alignment horizontal="left" vertical="center" textRotation="0" wrapText="true" indent="1"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8" fontId="7" fillId="4" borderId="2" xfId="0" applyFont="true" applyBorder="true" applyAlignment="true" applyProtection="false">
      <alignment horizontal="center" vertical="center" textRotation="0" wrapText="true" indent="0" shrinkToFit="false"/>
      <protection locked="true" hidden="false"/>
    </xf>
    <xf numFmtId="167" fontId="6" fillId="3" borderId="2" xfId="0" applyFont="true" applyBorder="true" applyAlignment="true" applyProtection="false">
      <alignment horizontal="center" vertical="center" textRotation="0" wrapText="true" indent="0" shrinkToFit="false"/>
      <protection locked="true" hidden="false"/>
    </xf>
    <xf numFmtId="170" fontId="6" fillId="3" borderId="2" xfId="0" applyFont="true" applyBorder="true" applyAlignment="true" applyProtection="false">
      <alignment horizontal="center" vertical="center" textRotation="0" wrapText="true" indent="0" shrinkToFit="false"/>
      <protection locked="true" hidden="false"/>
    </xf>
    <xf numFmtId="166" fontId="6" fillId="3" borderId="2"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1" shrinkToFit="false"/>
      <protection locked="true" hidden="false"/>
    </xf>
    <xf numFmtId="164" fontId="6" fillId="6" borderId="2" xfId="0" applyFont="true" applyBorder="true" applyAlignment="true" applyProtection="false">
      <alignment horizontal="center" vertical="center" textRotation="0" wrapText="true" indent="0" shrinkToFit="false"/>
      <protection locked="true" hidden="false"/>
    </xf>
    <xf numFmtId="167" fontId="6" fillId="6" borderId="2" xfId="0" applyFont="true" applyBorder="true" applyAlignment="true" applyProtection="false">
      <alignment horizontal="center" vertical="center" textRotation="0" wrapText="true" indent="0" shrinkToFit="false"/>
      <protection locked="true" hidden="false"/>
    </xf>
    <xf numFmtId="170" fontId="6" fillId="6" borderId="2" xfId="0" applyFont="true" applyBorder="true" applyAlignment="true" applyProtection="false">
      <alignment horizontal="center" vertical="center" textRotation="0" wrapText="true" indent="0" shrinkToFit="false"/>
      <protection locked="true" hidden="false"/>
    </xf>
    <xf numFmtId="164" fontId="6" fillId="8" borderId="2" xfId="0" applyFont="true" applyBorder="true" applyAlignment="true" applyProtection="false">
      <alignment horizontal="center" vertical="center" textRotation="0" wrapText="true" indent="0" shrinkToFit="false"/>
      <protection locked="true" hidden="false"/>
    </xf>
    <xf numFmtId="164" fontId="14" fillId="7" borderId="2" xfId="0" applyFont="true" applyBorder="true" applyAlignment="true" applyProtection="false">
      <alignment horizontal="center" vertical="center" textRotation="0" wrapText="true" indent="0" shrinkToFit="false"/>
      <protection locked="true" hidden="false"/>
    </xf>
    <xf numFmtId="167" fontId="6" fillId="7" borderId="2" xfId="0" applyFont="true" applyBorder="true" applyAlignment="true" applyProtection="false">
      <alignment horizontal="center" vertical="center" textRotation="0" wrapText="true" indent="0" shrinkToFit="false"/>
      <protection locked="true" hidden="false"/>
    </xf>
    <xf numFmtId="164" fontId="15" fillId="7" borderId="2" xfId="0" applyFont="true" applyBorder="true" applyAlignment="true" applyProtection="false">
      <alignment horizontal="center" vertical="center" textRotation="0" wrapText="tru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70" fontId="5" fillId="2" borderId="2" xfId="0" applyFont="true" applyBorder="true" applyAlignment="true" applyProtection="false">
      <alignment horizontal="center" vertical="center" textRotation="0" wrapText="true" indent="0" shrinkToFit="false"/>
      <protection locked="true" hidden="false"/>
    </xf>
    <xf numFmtId="164" fontId="12" fillId="2" borderId="2"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left" vertical="center" textRotation="0" wrapText="true" indent="1" shrinkToFit="false"/>
      <protection locked="true" hidden="false"/>
    </xf>
    <xf numFmtId="165" fontId="13" fillId="3" borderId="2" xfId="0" applyFont="true" applyBorder="true" applyAlignment="true" applyProtection="false">
      <alignment horizontal="right" vertical="center" textRotation="0" wrapText="false" indent="0" shrinkToFit="false"/>
      <protection locked="true" hidden="false"/>
    </xf>
    <xf numFmtId="167" fontId="13" fillId="3" borderId="2" xfId="0" applyFont="true" applyBorder="true" applyAlignment="true" applyProtection="false">
      <alignment horizontal="center" vertical="center" textRotation="0" wrapText="true" indent="0" shrinkToFit="false"/>
      <protection locked="true" hidden="false"/>
    </xf>
    <xf numFmtId="166" fontId="13" fillId="3" borderId="2"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general" vertical="bottom" textRotation="0" wrapText="false" indent="0" shrinkToFit="false"/>
      <protection locked="true" hidden="false"/>
    </xf>
    <xf numFmtId="167" fontId="13" fillId="6" borderId="2" xfId="0" applyFont="true" applyBorder="true" applyAlignment="true" applyProtection="false">
      <alignment horizontal="center" vertical="center" textRotation="0" wrapText="true" indent="0" shrinkToFit="false"/>
      <protection locked="true" hidden="false"/>
    </xf>
    <xf numFmtId="166" fontId="13" fillId="6" borderId="2" xfId="0" applyFont="true" applyBorder="true" applyAlignment="true" applyProtection="false">
      <alignment horizontal="center" vertical="center" textRotation="0" wrapText="true" indent="0" shrinkToFit="false"/>
      <protection locked="true" hidden="false"/>
    </xf>
    <xf numFmtId="164" fontId="6" fillId="6" borderId="2" xfId="0" applyFont="true" applyBorder="true" applyAlignment="true" applyProtection="false">
      <alignment horizontal="general" vertical="bottom" textRotation="0" wrapText="false" indent="0" shrinkToFit="false"/>
      <protection locked="true" hidden="false"/>
    </xf>
    <xf numFmtId="164" fontId="8" fillId="6" borderId="2" xfId="0" applyFont="true" applyBorder="true" applyAlignment="true" applyProtection="false">
      <alignment horizontal="left" vertical="center" textRotation="0" wrapText="true" indent="1"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9" fillId="9" borderId="2" xfId="0" applyFont="true" applyBorder="true" applyAlignment="true" applyProtection="false">
      <alignment horizontal="left" vertical="center" textRotation="0" wrapText="true" indent="1" shrinkToFit="false"/>
      <protection locked="true" hidden="false"/>
    </xf>
    <xf numFmtId="165" fontId="11" fillId="9" borderId="2" xfId="0" applyFont="true" applyBorder="true" applyAlignment="true" applyProtection="false">
      <alignment horizontal="right" vertical="center" textRotation="0" wrapText="false" indent="0" shrinkToFit="false"/>
      <protection locked="true" hidden="false"/>
    </xf>
    <xf numFmtId="165" fontId="9" fillId="9" borderId="2" xfId="0" applyFont="true" applyBorder="true" applyAlignment="true" applyProtection="false">
      <alignment horizontal="right" vertical="center" textRotation="0" wrapText="false" indent="0" shrinkToFit="false"/>
      <protection locked="true" hidden="false"/>
    </xf>
    <xf numFmtId="169" fontId="13" fillId="3" borderId="2" xfId="0" applyFont="true" applyBorder="true" applyAlignment="true" applyProtection="false">
      <alignment horizontal="right" vertical="center" textRotation="0" wrapText="false" indent="0" shrinkToFit="false"/>
      <protection locked="true" hidden="false"/>
    </xf>
    <xf numFmtId="164" fontId="6" fillId="3" borderId="2" xfId="0" applyFont="true" applyBorder="true" applyAlignment="true" applyProtection="false">
      <alignment horizontal="right"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true" indent="1" shrinkToFit="false"/>
      <protection locked="true" hidden="false"/>
    </xf>
    <xf numFmtId="165" fontId="11" fillId="4" borderId="2" xfId="0" applyFont="true" applyBorder="true" applyAlignment="true" applyProtection="false">
      <alignment horizontal="right" vertical="center" textRotation="0" wrapText="false" indent="0" shrinkToFit="false"/>
      <protection locked="true" hidden="false"/>
    </xf>
    <xf numFmtId="165" fontId="9" fillId="4" borderId="2" xfId="0" applyFont="true" applyBorder="true" applyAlignment="true" applyProtection="false">
      <alignment horizontal="right" vertical="center" textRotation="0" wrapText="false" indent="0" shrinkToFit="false"/>
      <protection locked="true" hidden="false"/>
    </xf>
    <xf numFmtId="164" fontId="6" fillId="8" borderId="2" xfId="0" applyFont="true" applyBorder="true" applyAlignment="true" applyProtection="false">
      <alignment horizontal="left" vertical="center" textRotation="0" wrapText="true" indent="1" shrinkToFit="false"/>
      <protection locked="true" hidden="false"/>
    </xf>
    <xf numFmtId="165" fontId="13" fillId="8" borderId="2" xfId="0" applyFont="true" applyBorder="true" applyAlignment="true" applyProtection="false">
      <alignment horizontal="right" vertical="center" textRotation="0" wrapText="false" indent="0" shrinkToFit="false"/>
      <protection locked="true" hidden="false"/>
    </xf>
    <xf numFmtId="165" fontId="6" fillId="8" borderId="2" xfId="0" applyFont="true" applyBorder="true" applyAlignment="true" applyProtection="false">
      <alignment horizontal="right" vertical="center" textRotation="0" wrapText="false" indent="0" shrinkToFit="false"/>
      <protection locked="true" hidden="false"/>
    </xf>
    <xf numFmtId="164" fontId="6" fillId="7" borderId="2" xfId="0" applyFont="true" applyBorder="true" applyAlignment="true" applyProtection="false">
      <alignment horizontal="left" vertical="center" textRotation="0" wrapText="true" indent="1" shrinkToFit="false"/>
      <protection locked="true" hidden="false"/>
    </xf>
    <xf numFmtId="165" fontId="13" fillId="7" borderId="2" xfId="0" applyFont="true" applyBorder="true" applyAlignment="true" applyProtection="false">
      <alignment horizontal="right" vertical="center" textRotation="0" wrapText="false" indent="0" shrinkToFit="false"/>
      <protection locked="true" hidden="false"/>
    </xf>
    <xf numFmtId="165" fontId="6" fillId="7" borderId="2" xfId="0" applyFont="true" applyBorder="true" applyAlignment="true" applyProtection="false">
      <alignment horizontal="right" vertical="center" textRotation="0" wrapText="false" indent="0" shrinkToFit="false"/>
      <protection locked="true" hidden="false"/>
    </xf>
    <xf numFmtId="164" fontId="18" fillId="6" borderId="1" xfId="0" applyFont="true" applyBorder="true" applyAlignment="true" applyProtection="false">
      <alignment horizontal="left" vertical="center" textRotation="0" wrapText="true" indent="1" shrinkToFit="false"/>
      <protection locked="true" hidden="false"/>
    </xf>
    <xf numFmtId="164" fontId="19" fillId="7" borderId="2" xfId="0" applyFont="true" applyBorder="true" applyAlignment="true" applyProtection="false">
      <alignment horizontal="left" vertical="center" textRotation="0" wrapText="true" indent="1" shrinkToFit="false"/>
      <protection locked="true" hidden="false"/>
    </xf>
    <xf numFmtId="165" fontId="20" fillId="7" borderId="2" xfId="0" applyFont="true" applyBorder="true" applyAlignment="true" applyProtection="false">
      <alignment horizontal="right" vertical="center" textRotation="0" wrapText="false" indent="0" shrinkToFit="false"/>
      <protection locked="true" hidden="false"/>
    </xf>
    <xf numFmtId="164" fontId="6" fillId="7" borderId="2" xfId="0" applyFont="true" applyBorder="true" applyAlignment="true" applyProtection="false">
      <alignment horizontal="center" vertical="center" textRotation="0" wrapText="true" indent="0" shrinkToFit="false"/>
      <protection locked="true" hidden="false"/>
    </xf>
    <xf numFmtId="164" fontId="21" fillId="7" borderId="2" xfId="0" applyFont="true" applyBorder="true" applyAlignment="true" applyProtection="false">
      <alignment horizontal="left" vertical="center" textRotation="0" wrapText="true" indent="1" shrinkToFit="false"/>
      <protection locked="true" hidden="false"/>
    </xf>
    <xf numFmtId="164" fontId="6" fillId="3" borderId="2" xfId="0" applyFont="true" applyBorder="true" applyAlignment="true" applyProtection="false">
      <alignment horizontal="center" vertical="center" textRotation="0" wrapText="false" indent="0" shrinkToFit="false"/>
      <protection locked="true" hidden="false"/>
    </xf>
    <xf numFmtId="165" fontId="9" fillId="6" borderId="2" xfId="0" applyFont="true" applyBorder="true" applyAlignment="true" applyProtection="false">
      <alignment horizontal="right" vertical="center" textRotation="0" wrapText="false" indent="0" shrinkToFit="false"/>
      <protection locked="true" hidden="false"/>
    </xf>
    <xf numFmtId="164" fontId="6" fillId="6" borderId="2" xfId="0" applyFont="true" applyBorder="true" applyAlignment="true" applyProtection="false">
      <alignment horizontal="center" vertical="center" textRotation="0" wrapText="false" indent="0" shrinkToFit="false"/>
      <protection locked="true" hidden="false"/>
    </xf>
    <xf numFmtId="171" fontId="9" fillId="6" borderId="2" xfId="0" applyFont="true" applyBorder="true" applyAlignment="true" applyProtection="false">
      <alignment horizontal="right"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left" vertical="center" textRotation="0" wrapText="true" indent="1" shrinkToFit="false"/>
      <protection locked="true" hidden="false"/>
    </xf>
    <xf numFmtId="164" fontId="10" fillId="5" borderId="1" xfId="0" applyFont="true" applyBorder="true" applyAlignment="true" applyProtection="false">
      <alignment horizontal="left" vertical="center" textRotation="0" wrapText="true" indent="1" shrinkToFit="false"/>
      <protection locked="true" hidden="false"/>
    </xf>
    <xf numFmtId="164" fontId="13" fillId="4" borderId="2" xfId="0" applyFont="true" applyBorder="true" applyAlignment="true" applyProtection="false">
      <alignment horizontal="left" vertical="center" textRotation="0" wrapText="true" indent="1" shrinkToFit="false"/>
      <protection locked="true" hidden="false"/>
    </xf>
    <xf numFmtId="165" fontId="6" fillId="4" borderId="2" xfId="0" applyFont="true" applyBorder="true" applyAlignment="true" applyProtection="false">
      <alignment horizontal="right" vertical="center" textRotation="0" wrapText="false" indent="0" shrinkToFit="false"/>
      <protection locked="true" hidden="false"/>
    </xf>
    <xf numFmtId="164" fontId="8" fillId="4" borderId="2" xfId="0" applyFont="true" applyBorder="true" applyAlignment="true" applyProtection="false">
      <alignment horizontal="left" vertical="center" textRotation="0" wrapText="true" indent="1" shrinkToFit="false"/>
      <protection locked="true" hidden="false"/>
    </xf>
    <xf numFmtId="167" fontId="6" fillId="4" borderId="2" xfId="0" applyFont="true" applyBorder="true" applyAlignment="true" applyProtection="false">
      <alignment horizontal="right" vertical="center" textRotation="0" wrapText="false" indent="0" shrinkToFit="false"/>
      <protection locked="true" hidden="false"/>
    </xf>
    <xf numFmtId="167" fontId="6" fillId="4"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left" vertical="center" textRotation="0" wrapText="true" indent="1" shrinkToFit="false"/>
      <protection locked="true" hidden="false"/>
    </xf>
    <xf numFmtId="164" fontId="9" fillId="10" borderId="2" xfId="0" applyFont="true" applyBorder="true" applyAlignment="true" applyProtection="false">
      <alignment horizontal="left" vertical="center" textRotation="0" wrapText="true" indent="1" shrinkToFit="false"/>
      <protection locked="true" hidden="false"/>
    </xf>
    <xf numFmtId="165" fontId="9" fillId="10" borderId="2" xfId="0" applyFont="true" applyBorder="true" applyAlignment="true" applyProtection="false">
      <alignment horizontal="right" vertical="center" textRotation="0" wrapText="false" indent="0" shrinkToFit="false"/>
      <protection locked="true" hidden="false"/>
    </xf>
    <xf numFmtId="164" fontId="8" fillId="10" borderId="2" xfId="0" applyFont="true" applyBorder="true" applyAlignment="true" applyProtection="false">
      <alignment horizontal="left" vertical="center" textRotation="0" wrapText="true" indent="1" shrinkToFit="false"/>
      <protection locked="true" hidden="false"/>
    </xf>
    <xf numFmtId="164" fontId="9" fillId="8" borderId="2" xfId="0" applyFont="true" applyBorder="true" applyAlignment="true" applyProtection="false">
      <alignment horizontal="left" vertical="center" textRotation="0" wrapText="true" indent="1" shrinkToFit="false"/>
      <protection locked="true" hidden="false"/>
    </xf>
    <xf numFmtId="165" fontId="9" fillId="8" borderId="2" xfId="0" applyFont="true" applyBorder="true" applyAlignment="true" applyProtection="false">
      <alignment horizontal="right" vertical="center" textRotation="0" wrapText="false" indent="0" shrinkToFit="false"/>
      <protection locked="true" hidden="false"/>
    </xf>
    <xf numFmtId="164" fontId="8" fillId="8" borderId="2" xfId="0" applyFont="true" applyBorder="true" applyAlignment="true" applyProtection="false">
      <alignment horizontal="left" vertical="center" textRotation="0" wrapText="true" indent="1" shrinkToFit="false"/>
      <protection locked="true" hidden="false"/>
    </xf>
    <xf numFmtId="164" fontId="6" fillId="8" borderId="2" xfId="0" applyFont="true" applyBorder="true" applyAlignment="true" applyProtection="false">
      <alignment horizontal="general" vertical="bottom" textRotation="0" wrapText="false" indent="0" shrinkToFit="false"/>
      <protection locked="true" hidden="false"/>
    </xf>
    <xf numFmtId="165" fontId="22" fillId="3" borderId="2" xfId="0" applyFont="true" applyBorder="true" applyAlignment="true" applyProtection="false">
      <alignment horizontal="center" vertical="center" textRotation="0" wrapText="true" indent="0" shrinkToFit="false"/>
      <protection locked="true" hidden="false"/>
    </xf>
    <xf numFmtId="165" fontId="22" fillId="6" borderId="2"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1" shrinkToFit="false"/>
      <protection locked="true" hidden="false"/>
    </xf>
    <xf numFmtId="165" fontId="23" fillId="6" borderId="2" xfId="0" applyFont="true" applyBorder="true" applyAlignment="true" applyProtection="false">
      <alignment horizontal="center" vertical="center" textRotation="0" wrapText="true" indent="0" shrinkToFit="false"/>
      <protection locked="true" hidden="false"/>
    </xf>
    <xf numFmtId="170" fontId="24" fillId="10" borderId="2"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1" shrinkToFit="false"/>
      <protection locked="true" hidden="false"/>
    </xf>
    <xf numFmtId="170" fontId="23" fillId="7" borderId="2" xfId="0" applyFont="true" applyBorder="true" applyAlignment="true" applyProtection="false">
      <alignment horizontal="center" vertical="center" textRotation="0" wrapText="true" indent="0" shrinkToFit="false"/>
      <protection locked="true" hidden="false"/>
    </xf>
    <xf numFmtId="164" fontId="25" fillId="2" borderId="2" xfId="0" applyFont="true" applyBorder="true" applyAlignment="true" applyProtection="false">
      <alignment horizontal="left" vertical="center" textRotation="0" wrapText="true" indent="1" shrinkToFit="false"/>
      <protection locked="true" hidden="false"/>
    </xf>
    <xf numFmtId="166" fontId="17" fillId="2" borderId="2"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1" shrinkToFit="false"/>
      <protection locked="true" hidden="false"/>
    </xf>
    <xf numFmtId="164" fontId="6" fillId="3" borderId="1" xfId="0" applyFont="true" applyBorder="true" applyAlignment="true" applyProtection="false">
      <alignment horizontal="left" vertical="center" textRotation="0" wrapText="true" indent="1" shrinkToFit="false"/>
      <protection locked="true" hidden="false"/>
    </xf>
    <xf numFmtId="164" fontId="6" fillId="6" borderId="1" xfId="0" applyFont="true" applyBorder="tru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CE6F1"/>
      <rgbColor rgb="FF660066"/>
      <rgbColor rgb="FFFF8080"/>
      <rgbColor rgb="FF2E5FA3"/>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F57F17"/>
      <rgbColor rgb="FF595959"/>
      <rgbColor rgb="FF969696"/>
      <rgbColor rgb="FF1F3864"/>
      <rgbColor rgb="FF2E7D32"/>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C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3" min="3" style="1" width="38"/>
  </cols>
  <sheetData>
    <row r="1" customFormat="false" ht="30" hidden="false" customHeight="true" outlineLevel="0" collapsed="false">
      <c r="A1" s="2" t="s">
        <v>0</v>
      </c>
      <c r="B1" s="2"/>
      <c r="C1" s="2"/>
    </row>
    <row r="2" customFormat="false" ht="3.75" hidden="false" customHeight="true" outlineLevel="0" collapsed="false"/>
    <row r="3" customFormat="false" ht="18" hidden="false" customHeight="true" outlineLevel="0" collapsed="false">
      <c r="A3" s="3" t="s">
        <v>1</v>
      </c>
      <c r="B3" s="3"/>
      <c r="C3" s="3"/>
    </row>
    <row r="4" customFormat="false" ht="15.75" hidden="false" customHeight="true" outlineLevel="0" collapsed="false">
      <c r="A4" s="4" t="s">
        <v>2</v>
      </c>
      <c r="B4" s="5" t="s">
        <v>3</v>
      </c>
      <c r="C4" s="6" t="s">
        <v>4</v>
      </c>
    </row>
    <row r="5" customFormat="false" ht="15.75" hidden="false" customHeight="true" outlineLevel="0" collapsed="false">
      <c r="A5" s="4" t="s">
        <v>5</v>
      </c>
      <c r="B5" s="5" t="s">
        <v>6</v>
      </c>
      <c r="C5" s="6" t="s">
        <v>7</v>
      </c>
    </row>
    <row r="6" customFormat="false" ht="15.75" hidden="false" customHeight="true" outlineLevel="0" collapsed="false">
      <c r="A6" s="4" t="s">
        <v>8</v>
      </c>
      <c r="B6" s="7" t="n">
        <v>100000000</v>
      </c>
      <c r="C6" s="6" t="s">
        <v>9</v>
      </c>
    </row>
    <row r="7" customFormat="false" ht="15.75" hidden="false" customHeight="true" outlineLevel="0" collapsed="false">
      <c r="A7" s="4" t="s">
        <v>10</v>
      </c>
      <c r="B7" s="8" t="n">
        <v>0.02</v>
      </c>
      <c r="C7" s="6" t="s">
        <v>11</v>
      </c>
    </row>
    <row r="8" customFormat="false" ht="15.75" hidden="false" customHeight="true" outlineLevel="0" collapsed="false">
      <c r="A8" s="4" t="s">
        <v>12</v>
      </c>
      <c r="B8" s="9" t="n">
        <f aca="false">B6*B7</f>
        <v>2000000</v>
      </c>
      <c r="C8" s="6"/>
    </row>
    <row r="9" customFormat="false" ht="15.75" hidden="false" customHeight="true" outlineLevel="0" collapsed="false">
      <c r="A9" s="4" t="s">
        <v>13</v>
      </c>
      <c r="B9" s="9" t="n">
        <f aca="false">B6-B8</f>
        <v>98000000</v>
      </c>
      <c r="C9" s="6"/>
    </row>
    <row r="10" customFormat="false" ht="15.75" hidden="false" customHeight="true" outlineLevel="0" collapsed="false">
      <c r="A10" s="4" t="s">
        <v>14</v>
      </c>
      <c r="B10" s="10" t="n">
        <v>10</v>
      </c>
      <c r="C10" s="6" t="s">
        <v>15</v>
      </c>
    </row>
    <row r="11" customFormat="false" ht="15.75" hidden="false" customHeight="true" outlineLevel="0" collapsed="false">
      <c r="A11" s="4" t="s">
        <v>16</v>
      </c>
      <c r="B11" s="10" t="n">
        <v>5</v>
      </c>
      <c r="C11" s="6" t="s">
        <v>17</v>
      </c>
    </row>
    <row r="12" customFormat="false" ht="15.75" hidden="false" customHeight="true" outlineLevel="0" collapsed="false">
      <c r="A12" s="4" t="s">
        <v>18</v>
      </c>
      <c r="B12" s="11" t="n">
        <v>2015</v>
      </c>
      <c r="C12" s="6"/>
    </row>
    <row r="13" customFormat="false" ht="6" hidden="false" customHeight="true" outlineLevel="0" collapsed="false"/>
    <row r="14" customFormat="false" ht="18" hidden="false" customHeight="true" outlineLevel="0" collapsed="false">
      <c r="A14" s="3" t="s">
        <v>19</v>
      </c>
      <c r="B14" s="3"/>
      <c r="C14" s="3"/>
    </row>
    <row r="15" customFormat="false" ht="15.75" hidden="false" customHeight="true" outlineLevel="0" collapsed="false">
      <c r="A15" s="4" t="s">
        <v>20</v>
      </c>
      <c r="B15" s="8" t="n">
        <v>0.02</v>
      </c>
      <c r="C15" s="6" t="s">
        <v>21</v>
      </c>
    </row>
    <row r="16" customFormat="false" ht="15.75" hidden="false" customHeight="true" outlineLevel="0" collapsed="false">
      <c r="A16" s="4" t="s">
        <v>22</v>
      </c>
      <c r="B16" s="8" t="n">
        <v>0.015</v>
      </c>
      <c r="C16" s="6" t="s">
        <v>23</v>
      </c>
    </row>
    <row r="17" customFormat="false" ht="15.75" hidden="false" customHeight="true" outlineLevel="0" collapsed="false">
      <c r="A17" s="4" t="s">
        <v>24</v>
      </c>
      <c r="B17" s="8" t="n">
        <v>0.001</v>
      </c>
      <c r="C17" s="6" t="s">
        <v>21</v>
      </c>
    </row>
    <row r="18" customFormat="false" ht="6" hidden="false" customHeight="true" outlineLevel="0" collapsed="false"/>
    <row r="19" customFormat="false" ht="18" hidden="false" customHeight="true" outlineLevel="0" collapsed="false">
      <c r="A19" s="3" t="s">
        <v>25</v>
      </c>
      <c r="B19" s="3"/>
      <c r="C19" s="3"/>
    </row>
    <row r="20" customFormat="false" ht="15.75" hidden="false" customHeight="true" outlineLevel="0" collapsed="false">
      <c r="A20" s="4" t="s">
        <v>26</v>
      </c>
      <c r="B20" s="8" t="n">
        <v>0.08</v>
      </c>
      <c r="C20" s="6" t="s">
        <v>27</v>
      </c>
    </row>
    <row r="21" customFormat="false" ht="15.75" hidden="false" customHeight="true" outlineLevel="0" collapsed="false">
      <c r="A21" s="4" t="s">
        <v>28</v>
      </c>
      <c r="B21" s="8" t="n">
        <v>0.2</v>
      </c>
      <c r="C21" s="6" t="s">
        <v>29</v>
      </c>
    </row>
    <row r="22" customFormat="false" ht="15.75" hidden="false" customHeight="true" outlineLevel="0" collapsed="false">
      <c r="A22" s="4" t="s">
        <v>30</v>
      </c>
      <c r="B22" s="12" t="n">
        <f aca="false">1-B21</f>
        <v>0.8</v>
      </c>
      <c r="C22" s="6"/>
    </row>
    <row r="23" customFormat="false" ht="15.75" hidden="false" customHeight="true" outlineLevel="0" collapsed="false">
      <c r="A23" s="4" t="s">
        <v>31</v>
      </c>
      <c r="B23" s="13" t="n">
        <v>1</v>
      </c>
      <c r="C23" s="6" t="s">
        <v>32</v>
      </c>
    </row>
    <row r="24" customFormat="false" ht="15.75" hidden="false" customHeight="true" outlineLevel="0" collapsed="false">
      <c r="A24" s="4" t="s">
        <v>33</v>
      </c>
      <c r="B24" s="12" t="n">
        <f aca="false">B21/(1-B21)</f>
        <v>0.25</v>
      </c>
      <c r="C24" s="6" t="s">
        <v>34</v>
      </c>
    </row>
    <row r="25" customFormat="false" ht="15.75" hidden="false" customHeight="true" outlineLevel="0" collapsed="false">
      <c r="A25" s="4" t="s">
        <v>35</v>
      </c>
      <c r="B25" s="5" t="s">
        <v>36</v>
      </c>
      <c r="C25" s="6" t="s">
        <v>37</v>
      </c>
    </row>
    <row r="26" customFormat="false" ht="15.75" hidden="false" customHeight="true" outlineLevel="0" collapsed="false">
      <c r="A26" s="4" t="s">
        <v>38</v>
      </c>
      <c r="B26" s="5" t="s">
        <v>39</v>
      </c>
      <c r="C26" s="6" t="s">
        <v>40</v>
      </c>
    </row>
    <row r="27" customFormat="false" ht="15.75" hidden="false" customHeight="true" outlineLevel="0" collapsed="false">
      <c r="A27" s="4" t="s">
        <v>41</v>
      </c>
      <c r="B27" s="5" t="s">
        <v>42</v>
      </c>
      <c r="C27" s="6" t="s">
        <v>43</v>
      </c>
    </row>
    <row r="28" customFormat="false" ht="6" hidden="false" customHeight="true" outlineLevel="0" collapsed="false"/>
    <row r="29" customFormat="false" ht="18" hidden="false" customHeight="true" outlineLevel="0" collapsed="false">
      <c r="A29" s="3" t="s">
        <v>44</v>
      </c>
      <c r="B29" s="3"/>
      <c r="C29" s="3"/>
    </row>
    <row r="30" customFormat="false" ht="15.75" hidden="false" customHeight="true" outlineLevel="0" collapsed="false">
      <c r="A30" s="14" t="s">
        <v>45</v>
      </c>
      <c r="B30" s="14" t="s">
        <v>46</v>
      </c>
      <c r="C30" s="14" t="s">
        <v>47</v>
      </c>
    </row>
    <row r="31" customFormat="false" ht="15.75" hidden="false" customHeight="true" outlineLevel="0" collapsed="false">
      <c r="A31" s="4" t="s">
        <v>48</v>
      </c>
      <c r="B31" s="7" t="n">
        <v>35000000</v>
      </c>
      <c r="C31" s="15" t="n">
        <f aca="false">B31/B6</f>
        <v>0.35</v>
      </c>
    </row>
    <row r="32" customFormat="false" ht="15.75" hidden="false" customHeight="true" outlineLevel="0" collapsed="false">
      <c r="A32" s="4" t="s">
        <v>49</v>
      </c>
      <c r="B32" s="7" t="n">
        <v>28000000</v>
      </c>
      <c r="C32" s="15" t="n">
        <f aca="false">B32/B6</f>
        <v>0.28</v>
      </c>
    </row>
    <row r="33" customFormat="false" ht="15.75" hidden="false" customHeight="true" outlineLevel="0" collapsed="false">
      <c r="A33" s="4" t="s">
        <v>50</v>
      </c>
      <c r="B33" s="7" t="n">
        <v>20000000</v>
      </c>
      <c r="C33" s="15" t="n">
        <f aca="false">B33/B6</f>
        <v>0.2</v>
      </c>
    </row>
    <row r="34" customFormat="false" ht="15.75" hidden="false" customHeight="true" outlineLevel="0" collapsed="false">
      <c r="A34" s="4" t="s">
        <v>51</v>
      </c>
      <c r="B34" s="7" t="n">
        <v>15000000</v>
      </c>
      <c r="C34" s="15" t="n">
        <f aca="false">B34/B6</f>
        <v>0.15</v>
      </c>
    </row>
    <row r="35" customFormat="false" ht="15.75" hidden="false" customHeight="true" outlineLevel="0" collapsed="false">
      <c r="A35" s="4" t="s">
        <v>52</v>
      </c>
      <c r="B35" s="16" t="n">
        <f aca="false">B8</f>
        <v>2000000</v>
      </c>
      <c r="C35" s="15" t="n">
        <f aca="false">B35/B6</f>
        <v>0.02</v>
      </c>
    </row>
    <row r="36" customFormat="false" ht="15.75" hidden="false" customHeight="true" outlineLevel="0" collapsed="false">
      <c r="A36" s="17" t="s">
        <v>53</v>
      </c>
      <c r="B36" s="18" t="n">
        <f aca="false">SUM(B31:B35)</f>
        <v>100000000</v>
      </c>
      <c r="C36" s="19" t="n">
        <f aca="false">B36/B6</f>
        <v>1</v>
      </c>
    </row>
    <row r="37" customFormat="false" ht="6" hidden="false" customHeight="true" outlineLevel="0" collapsed="false"/>
    <row r="38" customFormat="false" ht="18" hidden="false" customHeight="true" outlineLevel="0" collapsed="false">
      <c r="A38" s="3" t="s">
        <v>54</v>
      </c>
      <c r="B38" s="3"/>
      <c r="C38" s="3"/>
    </row>
    <row r="39" customFormat="false" ht="15.75" hidden="false" customHeight="true" outlineLevel="0" collapsed="false">
      <c r="A39" s="14" t="s">
        <v>55</v>
      </c>
      <c r="B39" s="14" t="s">
        <v>56</v>
      </c>
      <c r="C39" s="14" t="s">
        <v>57</v>
      </c>
    </row>
    <row r="40" customFormat="false" ht="15.75" hidden="false" customHeight="true" outlineLevel="0" collapsed="false">
      <c r="A40" s="4" t="s">
        <v>58</v>
      </c>
      <c r="B40" s="20" t="n">
        <v>0.25</v>
      </c>
      <c r="C40" s="6" t="s">
        <v>59</v>
      </c>
    </row>
    <row r="41" customFormat="false" ht="15.75" hidden="false" customHeight="true" outlineLevel="0" collapsed="false">
      <c r="A41" s="4" t="s">
        <v>60</v>
      </c>
      <c r="B41" s="20" t="n">
        <v>0.25</v>
      </c>
      <c r="C41" s="6" t="s">
        <v>61</v>
      </c>
    </row>
    <row r="42" customFormat="false" ht="15.75" hidden="false" customHeight="true" outlineLevel="0" collapsed="false">
      <c r="A42" s="4" t="s">
        <v>62</v>
      </c>
      <c r="B42" s="20" t="n">
        <v>0.2</v>
      </c>
      <c r="C42" s="6" t="s">
        <v>63</v>
      </c>
    </row>
    <row r="43" customFormat="false" ht="15.75" hidden="false" customHeight="true" outlineLevel="0" collapsed="false">
      <c r="A43" s="4" t="s">
        <v>64</v>
      </c>
      <c r="B43" s="20" t="n">
        <v>0.2</v>
      </c>
      <c r="C43" s="6" t="s">
        <v>65</v>
      </c>
    </row>
    <row r="44" customFormat="false" ht="15.75" hidden="false" customHeight="true" outlineLevel="0" collapsed="false">
      <c r="A44" s="4" t="s">
        <v>66</v>
      </c>
      <c r="B44" s="20" t="n">
        <v>0.05</v>
      </c>
      <c r="C44" s="6" t="s">
        <v>67</v>
      </c>
    </row>
    <row r="45" customFormat="false" ht="15.75" hidden="false" customHeight="true" outlineLevel="0" collapsed="false">
      <c r="A45" s="17" t="s">
        <v>68</v>
      </c>
      <c r="B45" s="21" t="n">
        <f aca="false">SUM(B40:B44)</f>
        <v>0.95</v>
      </c>
      <c r="C45" s="22" t="s">
        <v>69</v>
      </c>
    </row>
  </sheetData>
  <mergeCells count="6">
    <mergeCell ref="A1:C1"/>
    <mergeCell ref="A3:C3"/>
    <mergeCell ref="A14:C14"/>
    <mergeCell ref="A19:C19"/>
    <mergeCell ref="A29:C29"/>
    <mergeCell ref="A38:C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FA3"/>
    <pageSetUpPr fitToPage="fals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9" min="2" style="1" width="16"/>
  </cols>
  <sheetData>
    <row r="1" customFormat="false" ht="30" hidden="false" customHeight="true" outlineLevel="0" collapsed="false">
      <c r="A1" s="2" t="s">
        <v>70</v>
      </c>
      <c r="B1" s="2"/>
      <c r="C1" s="2"/>
      <c r="D1" s="2"/>
      <c r="E1" s="2"/>
      <c r="F1" s="2"/>
      <c r="G1" s="2"/>
      <c r="H1" s="2"/>
      <c r="I1" s="2"/>
    </row>
    <row r="2" customFormat="false" ht="13.5" hidden="false" customHeight="true" outlineLevel="0" collapsed="false">
      <c r="A2" s="23" t="s">
        <v>71</v>
      </c>
      <c r="B2" s="23"/>
      <c r="C2" s="23"/>
      <c r="D2" s="23"/>
      <c r="E2" s="23"/>
      <c r="F2" s="23"/>
      <c r="G2" s="23"/>
      <c r="H2" s="23"/>
      <c r="I2" s="23"/>
    </row>
    <row r="3" customFormat="false" ht="6" hidden="false" customHeight="true" outlineLevel="0" collapsed="false"/>
    <row r="4" customFormat="false" ht="31.5" hidden="false" customHeight="true" outlineLevel="0" collapsed="false">
      <c r="A4" s="24" t="s">
        <v>45</v>
      </c>
      <c r="B4" s="24" t="s">
        <v>72</v>
      </c>
      <c r="C4" s="24" t="s">
        <v>73</v>
      </c>
      <c r="D4" s="24" t="s">
        <v>74</v>
      </c>
      <c r="E4" s="24" t="s">
        <v>75</v>
      </c>
      <c r="F4" s="24" t="s">
        <v>76</v>
      </c>
      <c r="G4" s="24" t="s">
        <v>77</v>
      </c>
      <c r="H4" s="24" t="s">
        <v>78</v>
      </c>
      <c r="I4" s="24" t="s">
        <v>79</v>
      </c>
    </row>
    <row r="5" customFormat="false" ht="18" hidden="false" customHeight="true" outlineLevel="0" collapsed="false">
      <c r="A5" s="4" t="s">
        <v>48</v>
      </c>
      <c r="B5" s="25" t="n">
        <f aca="false">Assumptions!B31</f>
        <v>35000000</v>
      </c>
      <c r="C5" s="26" t="n">
        <f aca="false">B5*Assumptions!B40</f>
        <v>8750000</v>
      </c>
      <c r="D5" s="26" t="n">
        <f aca="false">B5*Assumptions!B41</f>
        <v>8750000</v>
      </c>
      <c r="E5" s="26" t="n">
        <f aca="false">B5*Assumptions!B42</f>
        <v>7000000</v>
      </c>
      <c r="F5" s="26" t="n">
        <f aca="false">B5*Assumptions!B43</f>
        <v>7000000</v>
      </c>
      <c r="G5" s="26" t="n">
        <f aca="false">B5*Assumptions!B44</f>
        <v>1750000</v>
      </c>
      <c r="H5" s="26" t="n">
        <f aca="false">SUM(C5:G5)</f>
        <v>33250000</v>
      </c>
      <c r="I5" s="26" t="n">
        <f aca="false">B5-H5</f>
        <v>1750000</v>
      </c>
    </row>
    <row r="6" customFormat="false" ht="18" hidden="false" customHeight="true" outlineLevel="0" collapsed="false">
      <c r="A6" s="27" t="s">
        <v>49</v>
      </c>
      <c r="B6" s="25" t="n">
        <f aca="false">Assumptions!B32</f>
        <v>28000000</v>
      </c>
      <c r="C6" s="28" t="n">
        <f aca="false">B6*Assumptions!B40</f>
        <v>7000000</v>
      </c>
      <c r="D6" s="28" t="n">
        <f aca="false">B6*Assumptions!B41</f>
        <v>7000000</v>
      </c>
      <c r="E6" s="28" t="n">
        <f aca="false">B6*Assumptions!B42</f>
        <v>5600000</v>
      </c>
      <c r="F6" s="28" t="n">
        <f aca="false">B6*Assumptions!B43</f>
        <v>5600000</v>
      </c>
      <c r="G6" s="28" t="n">
        <f aca="false">B6*Assumptions!B44</f>
        <v>1400000</v>
      </c>
      <c r="H6" s="28" t="n">
        <f aca="false">SUM(C6:G6)</f>
        <v>26600000</v>
      </c>
      <c r="I6" s="28" t="n">
        <f aca="false">B6-H6</f>
        <v>1400000</v>
      </c>
    </row>
    <row r="7" customFormat="false" ht="18" hidden="false" customHeight="true" outlineLevel="0" collapsed="false">
      <c r="A7" s="4" t="s">
        <v>50</v>
      </c>
      <c r="B7" s="25" t="n">
        <f aca="false">Assumptions!B33</f>
        <v>20000000</v>
      </c>
      <c r="C7" s="26" t="n">
        <f aca="false">B7*Assumptions!B40</f>
        <v>5000000</v>
      </c>
      <c r="D7" s="26" t="n">
        <f aca="false">B7*Assumptions!B41</f>
        <v>5000000</v>
      </c>
      <c r="E7" s="26" t="n">
        <f aca="false">B7*Assumptions!B42</f>
        <v>4000000</v>
      </c>
      <c r="F7" s="26" t="n">
        <f aca="false">B7*Assumptions!B43</f>
        <v>4000000</v>
      </c>
      <c r="G7" s="26" t="n">
        <f aca="false">B7*Assumptions!B44</f>
        <v>1000000</v>
      </c>
      <c r="H7" s="26" t="n">
        <f aca="false">SUM(C7:G7)</f>
        <v>19000000</v>
      </c>
      <c r="I7" s="26" t="n">
        <f aca="false">B7-H7</f>
        <v>1000000</v>
      </c>
    </row>
    <row r="8" customFormat="false" ht="18" hidden="false" customHeight="true" outlineLevel="0" collapsed="false">
      <c r="A8" s="27" t="s">
        <v>51</v>
      </c>
      <c r="B8" s="25" t="n">
        <f aca="false">Assumptions!B34</f>
        <v>15000000</v>
      </c>
      <c r="C8" s="28" t="n">
        <f aca="false">B8*Assumptions!B40</f>
        <v>3750000</v>
      </c>
      <c r="D8" s="28" t="n">
        <f aca="false">B8*Assumptions!B41</f>
        <v>3750000</v>
      </c>
      <c r="E8" s="28" t="n">
        <f aca="false">B8*Assumptions!B42</f>
        <v>3000000</v>
      </c>
      <c r="F8" s="28" t="n">
        <f aca="false">B8*Assumptions!B43</f>
        <v>3000000</v>
      </c>
      <c r="G8" s="28" t="n">
        <f aca="false">B8*Assumptions!B44</f>
        <v>750000</v>
      </c>
      <c r="H8" s="28" t="n">
        <f aca="false">SUM(C8:G8)</f>
        <v>14250000</v>
      </c>
      <c r="I8" s="28" t="n">
        <f aca="false">B8-H8</f>
        <v>750000</v>
      </c>
    </row>
    <row r="9" customFormat="false" ht="18" hidden="false" customHeight="true" outlineLevel="0" collapsed="false">
      <c r="A9" s="4" t="s">
        <v>80</v>
      </c>
      <c r="B9" s="25" t="n">
        <f aca="false">Assumptions!B35</f>
        <v>2000000</v>
      </c>
      <c r="C9" s="26" t="n">
        <f aca="false">B9*Assumptions!B40</f>
        <v>500000</v>
      </c>
      <c r="D9" s="26" t="n">
        <f aca="false">B9*Assumptions!B41</f>
        <v>500000</v>
      </c>
      <c r="E9" s="26" t="n">
        <f aca="false">B9*Assumptions!B42</f>
        <v>400000</v>
      </c>
      <c r="F9" s="26" t="n">
        <f aca="false">B9*Assumptions!B43</f>
        <v>400000</v>
      </c>
      <c r="G9" s="26" t="n">
        <f aca="false">B9*Assumptions!B44</f>
        <v>100000</v>
      </c>
      <c r="H9" s="26" t="n">
        <f aca="false">SUM(C9:G9)</f>
        <v>1900000</v>
      </c>
      <c r="I9" s="26" t="n">
        <f aca="false">B9-H9</f>
        <v>100000</v>
      </c>
    </row>
    <row r="10" customFormat="false" ht="18" hidden="false" customHeight="true" outlineLevel="0" collapsed="false">
      <c r="A10" s="17" t="s">
        <v>81</v>
      </c>
      <c r="B10" s="18" t="n">
        <f aca="false">SUM(B5:B9)</f>
        <v>100000000</v>
      </c>
      <c r="C10" s="18" t="n">
        <f aca="false">SUM(C5:C9)</f>
        <v>25000000</v>
      </c>
      <c r="D10" s="18" t="n">
        <f aca="false">SUM(D5:D9)</f>
        <v>25000000</v>
      </c>
      <c r="E10" s="18" t="n">
        <f aca="false">SUM(E5:E9)</f>
        <v>20000000</v>
      </c>
      <c r="F10" s="18" t="n">
        <f aca="false">SUM(F5:F9)</f>
        <v>20000000</v>
      </c>
      <c r="G10" s="18" t="n">
        <f aca="false">SUM(G5:G9)</f>
        <v>5000000</v>
      </c>
      <c r="H10" s="18" t="n">
        <f aca="false">SUM(H5:H9)</f>
        <v>95000000</v>
      </c>
      <c r="I10" s="18" t="n">
        <f aca="false">SUM(I5:I9)</f>
        <v>5000000</v>
      </c>
    </row>
    <row r="11" customFormat="false" ht="9.75" hidden="false" customHeight="true" outlineLevel="0" collapsed="false"/>
    <row r="12" customFormat="false" ht="30" hidden="false" customHeight="true" outlineLevel="0" collapsed="false">
      <c r="A12" s="29" t="s">
        <v>82</v>
      </c>
      <c r="B12" s="29"/>
      <c r="C12" s="29"/>
      <c r="D12" s="29"/>
      <c r="E12" s="29"/>
      <c r="F12" s="29"/>
      <c r="G12" s="29"/>
      <c r="H12" s="29"/>
      <c r="I12" s="29"/>
    </row>
  </sheetData>
  <mergeCells count="3">
    <mergeCell ref="A1:I1"/>
    <mergeCell ref="A2:I2"/>
    <mergeCell ref="A12:I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FA3"/>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14"/>
    <col collapsed="false" customWidth="true" hidden="false" outlineLevel="0" max="4" min="4" style="1" width="16"/>
    <col collapsed="false" customWidth="true" hidden="false" outlineLevel="0" max="6" min="5" style="1" width="14"/>
    <col collapsed="false" customWidth="true" hidden="false" outlineLevel="0" max="7" min="7" style="1" width="16"/>
    <col collapsed="false" customWidth="true" hidden="false" outlineLevel="0" max="9" min="8" style="1" width="14"/>
    <col collapsed="false" customWidth="true" hidden="false" outlineLevel="0" max="10" min="10" style="1" width="22"/>
  </cols>
  <sheetData>
    <row r="1" customFormat="false" ht="30" hidden="false" customHeight="true" outlineLevel="0" collapsed="false">
      <c r="A1" s="2" t="s">
        <v>83</v>
      </c>
      <c r="B1" s="2"/>
      <c r="C1" s="2"/>
      <c r="D1" s="2"/>
      <c r="E1" s="2"/>
      <c r="F1" s="2"/>
      <c r="G1" s="2"/>
      <c r="H1" s="2"/>
      <c r="I1" s="2"/>
      <c r="J1" s="2"/>
    </row>
    <row r="2" customFormat="false" ht="13.5" hidden="false" customHeight="true" outlineLevel="0" collapsed="false">
      <c r="A2" s="23" t="s">
        <v>84</v>
      </c>
      <c r="B2" s="23"/>
      <c r="C2" s="23"/>
      <c r="D2" s="23"/>
      <c r="E2" s="23"/>
      <c r="F2" s="23"/>
      <c r="G2" s="23"/>
      <c r="H2" s="23"/>
      <c r="I2" s="23"/>
      <c r="J2" s="23"/>
    </row>
    <row r="3" customFormat="false" ht="6" hidden="false" customHeight="true" outlineLevel="0" collapsed="false"/>
    <row r="4" customFormat="false" ht="31.5" hidden="false" customHeight="true" outlineLevel="0" collapsed="false">
      <c r="A4" s="24" t="s">
        <v>85</v>
      </c>
      <c r="B4" s="24" t="s">
        <v>86</v>
      </c>
      <c r="C4" s="24" t="s">
        <v>87</v>
      </c>
      <c r="D4" s="24" t="s">
        <v>88</v>
      </c>
      <c r="E4" s="24" t="s">
        <v>89</v>
      </c>
      <c r="F4" s="24" t="s">
        <v>90</v>
      </c>
      <c r="G4" s="24" t="s">
        <v>91</v>
      </c>
      <c r="H4" s="24" t="s">
        <v>92</v>
      </c>
      <c r="I4" s="24" t="s">
        <v>93</v>
      </c>
      <c r="J4" s="24" t="s">
        <v>94</v>
      </c>
    </row>
    <row r="5" customFormat="false" ht="18" hidden="false" customHeight="true" outlineLevel="0" collapsed="false">
      <c r="A5" s="30" t="s">
        <v>95</v>
      </c>
      <c r="B5" s="31" t="s">
        <v>96</v>
      </c>
      <c r="C5" s="32" t="n">
        <v>2015</v>
      </c>
      <c r="D5" s="7" t="n">
        <v>15000000</v>
      </c>
      <c r="E5" s="32" t="n">
        <v>2018</v>
      </c>
      <c r="F5" s="33" t="n">
        <f aca="false">E5-C5</f>
        <v>3</v>
      </c>
      <c r="G5" s="7" t="n">
        <v>42000000</v>
      </c>
      <c r="H5" s="34" t="n">
        <f aca="false">G5/D5</f>
        <v>2.8</v>
      </c>
      <c r="I5" s="35" t="n">
        <f aca="false">IF(F5&gt;0,POWER(G5/D5,1/F5)-1,"N/A")</f>
        <v>0.409459746412978</v>
      </c>
      <c r="J5" s="31" t="s">
        <v>97</v>
      </c>
    </row>
    <row r="6" customFormat="false" ht="18" hidden="false" customHeight="true" outlineLevel="0" collapsed="false">
      <c r="A6" s="36" t="s">
        <v>98</v>
      </c>
      <c r="B6" s="37" t="s">
        <v>99</v>
      </c>
      <c r="C6" s="32" t="n">
        <v>2015</v>
      </c>
      <c r="D6" s="7" t="n">
        <v>12000000</v>
      </c>
      <c r="E6" s="32" t="n">
        <v>2019</v>
      </c>
      <c r="F6" s="38" t="n">
        <f aca="false">E6-C6</f>
        <v>4</v>
      </c>
      <c r="G6" s="7" t="n">
        <v>7000000</v>
      </c>
      <c r="H6" s="39" t="n">
        <f aca="false">G6/D6</f>
        <v>0.583333333333333</v>
      </c>
      <c r="I6" s="15" t="n">
        <f aca="false">IF(F6&gt;0,POWER(G6/D6,1/F6)-1,"N/A")</f>
        <v>-0.12606486749532</v>
      </c>
      <c r="J6" s="40" t="s">
        <v>100</v>
      </c>
    </row>
    <row r="7" customFormat="false" ht="18" hidden="false" customHeight="true" outlineLevel="0" collapsed="false">
      <c r="A7" s="30" t="s">
        <v>101</v>
      </c>
      <c r="B7" s="31" t="s">
        <v>102</v>
      </c>
      <c r="C7" s="32" t="n">
        <v>2016</v>
      </c>
      <c r="D7" s="7" t="n">
        <v>22000000</v>
      </c>
      <c r="E7" s="32" t="n">
        <v>2021</v>
      </c>
      <c r="F7" s="33" t="n">
        <f aca="false">E7-C7</f>
        <v>5</v>
      </c>
      <c r="G7" s="7" t="n">
        <v>70000000</v>
      </c>
      <c r="H7" s="34" t="n">
        <f aca="false">G7/D7</f>
        <v>3.18181818181818</v>
      </c>
      <c r="I7" s="35" t="n">
        <f aca="false">IF(F7&gt;0,POWER(G7/D7,1/F7)-1,"N/A")</f>
        <v>0.260477424763595</v>
      </c>
      <c r="J7" s="31" t="s">
        <v>97</v>
      </c>
    </row>
    <row r="8" customFormat="false" ht="18" hidden="false" customHeight="true" outlineLevel="0" collapsed="false">
      <c r="A8" s="36" t="s">
        <v>103</v>
      </c>
      <c r="B8" s="37" t="s">
        <v>104</v>
      </c>
      <c r="C8" s="32" t="n">
        <v>2017</v>
      </c>
      <c r="D8" s="7" t="n">
        <v>18000000</v>
      </c>
      <c r="E8" s="32" t="n">
        <v>2022</v>
      </c>
      <c r="F8" s="38" t="n">
        <f aca="false">E8-C8</f>
        <v>5</v>
      </c>
      <c r="G8" s="7" t="n">
        <v>55000000</v>
      </c>
      <c r="H8" s="39" t="n">
        <f aca="false">G8/D8</f>
        <v>3.05555555555556</v>
      </c>
      <c r="I8" s="15" t="n">
        <f aca="false">IF(F8&gt;0,POWER(G8/D8,1/F8)-1,"N/A")</f>
        <v>0.250310956362445</v>
      </c>
      <c r="J8" s="37" t="s">
        <v>97</v>
      </c>
    </row>
    <row r="9" customFormat="false" ht="18" hidden="false" customHeight="true" outlineLevel="0" collapsed="false">
      <c r="A9" s="30" t="s">
        <v>105</v>
      </c>
      <c r="B9" s="31" t="s">
        <v>106</v>
      </c>
      <c r="C9" s="32" t="n">
        <v>2018</v>
      </c>
      <c r="D9" s="7" t="n">
        <v>15000000</v>
      </c>
      <c r="E9" s="41" t="s">
        <v>107</v>
      </c>
      <c r="F9" s="42" t="n">
        <f aca="false">2021-C9</f>
        <v>3</v>
      </c>
      <c r="G9" s="7" t="n">
        <v>28000000</v>
      </c>
      <c r="H9" s="34" t="n">
        <f aca="false">G9/D9</f>
        <v>1.86666666666667</v>
      </c>
      <c r="I9" s="35" t="n">
        <f aca="false">IF(F9&gt;0,POWER(G9/D9,1/F9)-1,"N/A")</f>
        <v>0.231276500298556</v>
      </c>
      <c r="J9" s="43" t="s">
        <v>108</v>
      </c>
    </row>
    <row r="10" customFormat="false" ht="18" hidden="false" customHeight="true" outlineLevel="0" collapsed="false">
      <c r="A10" s="17" t="s">
        <v>109</v>
      </c>
      <c r="B10" s="44"/>
      <c r="C10" s="44"/>
      <c r="D10" s="18" t="n">
        <f aca="false">SUM(D5:D9)</f>
        <v>82000000</v>
      </c>
      <c r="E10" s="44"/>
      <c r="F10" s="44"/>
      <c r="G10" s="18" t="n">
        <f aca="false">SUM(G5:G9)</f>
        <v>202000000</v>
      </c>
      <c r="H10" s="45" t="n">
        <f aca="false">G10/D10</f>
        <v>2.46341463414634</v>
      </c>
      <c r="I10" s="44"/>
      <c r="J10" s="46" t="s">
        <v>110</v>
      </c>
    </row>
    <row r="11" customFormat="false" ht="7.5" hidden="false" customHeight="true" outlineLevel="0" collapsed="false"/>
    <row r="12" customFormat="false" ht="18" hidden="false" customHeight="true" outlineLevel="0" collapsed="false">
      <c r="A12" s="47" t="s">
        <v>111</v>
      </c>
      <c r="B12" s="47"/>
      <c r="C12" s="47"/>
      <c r="D12" s="47"/>
      <c r="E12" s="47"/>
      <c r="F12" s="47"/>
      <c r="G12" s="47"/>
      <c r="H12" s="47"/>
      <c r="I12" s="47"/>
      <c r="J12" s="47"/>
    </row>
    <row r="13" customFormat="false" ht="21.75" hidden="false" customHeight="true" outlineLevel="0" collapsed="false">
      <c r="A13" s="14" t="s">
        <v>112</v>
      </c>
      <c r="B13" s="14" t="s">
        <v>88</v>
      </c>
      <c r="C13" s="14" t="s">
        <v>113</v>
      </c>
      <c r="D13" s="14" t="s">
        <v>114</v>
      </c>
      <c r="E13" s="14" t="s">
        <v>115</v>
      </c>
      <c r="J13" s="14" t="s">
        <v>57</v>
      </c>
    </row>
    <row r="14" customFormat="false" ht="16.5" hidden="false" customHeight="true" outlineLevel="0" collapsed="false">
      <c r="A14" s="4" t="s">
        <v>95</v>
      </c>
      <c r="B14" s="48" t="n">
        <f aca="false">D5</f>
        <v>15000000</v>
      </c>
      <c r="C14" s="49" t="n">
        <f aca="false">F5</f>
        <v>3</v>
      </c>
      <c r="D14" s="50" t="n">
        <f aca="false">Assumptions!B20</f>
        <v>0.08</v>
      </c>
      <c r="E14" s="26" t="n">
        <f aca="false">B14*(POWER(1+D14,C14)-1)</f>
        <v>3895680</v>
      </c>
      <c r="F14" s="51"/>
      <c r="G14" s="51"/>
      <c r="H14" s="51"/>
      <c r="I14" s="51"/>
      <c r="J14" s="6" t="s">
        <v>116</v>
      </c>
    </row>
    <row r="15" customFormat="false" ht="16.5" hidden="false" customHeight="true" outlineLevel="0" collapsed="false">
      <c r="A15" s="27" t="s">
        <v>98</v>
      </c>
      <c r="B15" s="25" t="n">
        <f aca="false">D6</f>
        <v>12000000</v>
      </c>
      <c r="C15" s="52" t="n">
        <f aca="false">F6</f>
        <v>4</v>
      </c>
      <c r="D15" s="53" t="n">
        <f aca="false">Assumptions!B20</f>
        <v>0.08</v>
      </c>
      <c r="E15" s="28" t="n">
        <f aca="false">B15*(POWER(1+D15,C15)-1)</f>
        <v>4325867.52</v>
      </c>
      <c r="F15" s="54"/>
      <c r="G15" s="54"/>
      <c r="H15" s="54"/>
      <c r="I15" s="54"/>
      <c r="J15" s="55" t="s">
        <v>116</v>
      </c>
    </row>
    <row r="16" customFormat="false" ht="16.5" hidden="false" customHeight="true" outlineLevel="0" collapsed="false">
      <c r="A16" s="4" t="s">
        <v>101</v>
      </c>
      <c r="B16" s="48" t="n">
        <f aca="false">D7</f>
        <v>22000000</v>
      </c>
      <c r="C16" s="49" t="n">
        <f aca="false">F7</f>
        <v>5</v>
      </c>
      <c r="D16" s="50" t="n">
        <f aca="false">Assumptions!B20</f>
        <v>0.08</v>
      </c>
      <c r="E16" s="26" t="n">
        <f aca="false">B16*(POWER(1+D16,C16)-1)</f>
        <v>10325217.6896</v>
      </c>
      <c r="F16" s="51"/>
      <c r="G16" s="51"/>
      <c r="H16" s="51"/>
      <c r="I16" s="51"/>
      <c r="J16" s="6" t="s">
        <v>116</v>
      </c>
    </row>
    <row r="17" customFormat="false" ht="16.5" hidden="false" customHeight="true" outlineLevel="0" collapsed="false">
      <c r="A17" s="27" t="s">
        <v>103</v>
      </c>
      <c r="B17" s="25" t="n">
        <f aca="false">D8</f>
        <v>18000000</v>
      </c>
      <c r="C17" s="52" t="n">
        <f aca="false">F8</f>
        <v>5</v>
      </c>
      <c r="D17" s="53" t="n">
        <f aca="false">Assumptions!B20</f>
        <v>0.08</v>
      </c>
      <c r="E17" s="28" t="n">
        <f aca="false">B17*(POWER(1+D17,C17)-1)</f>
        <v>8447905.38240001</v>
      </c>
      <c r="F17" s="54"/>
      <c r="G17" s="54"/>
      <c r="H17" s="54"/>
      <c r="I17" s="54"/>
      <c r="J17" s="55" t="s">
        <v>116</v>
      </c>
    </row>
    <row r="18" customFormat="false" ht="16.5" hidden="false" customHeight="true" outlineLevel="0" collapsed="false">
      <c r="A18" s="4" t="s">
        <v>105</v>
      </c>
      <c r="B18" s="48" t="n">
        <f aca="false">D9</f>
        <v>15000000</v>
      </c>
      <c r="C18" s="49" t="n">
        <f aca="false">F9</f>
        <v>3</v>
      </c>
      <c r="D18" s="50" t="n">
        <f aca="false">Assumptions!B20</f>
        <v>0.08</v>
      </c>
      <c r="E18" s="26" t="n">
        <f aca="false">B18*(POWER(1+D18,C18)-1)</f>
        <v>3895680</v>
      </c>
      <c r="F18" s="51"/>
      <c r="G18" s="51"/>
      <c r="H18" s="51"/>
      <c r="I18" s="51"/>
      <c r="J18" s="6" t="s">
        <v>116</v>
      </c>
    </row>
  </sheetData>
  <mergeCells count="3">
    <mergeCell ref="A1:J1"/>
    <mergeCell ref="A2:J2"/>
    <mergeCell ref="A12:J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D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20"/>
  </cols>
  <sheetData>
    <row r="1" customFormat="false" ht="31.5" hidden="false" customHeight="true" outlineLevel="0" collapsed="false">
      <c r="A1" s="56" t="s">
        <v>117</v>
      </c>
      <c r="B1" s="56"/>
      <c r="C1" s="56"/>
      <c r="D1" s="56"/>
    </row>
    <row r="2" customFormat="false" ht="30" hidden="false" customHeight="true" outlineLevel="0" collapsed="false">
      <c r="A2" s="23" t="s">
        <v>118</v>
      </c>
      <c r="B2" s="23"/>
      <c r="C2" s="23"/>
      <c r="D2" s="23"/>
    </row>
    <row r="3" customFormat="false" ht="7.5" hidden="false" customHeight="true" outlineLevel="0" collapsed="false"/>
    <row r="4" customFormat="false" ht="18" hidden="false" customHeight="true" outlineLevel="0" collapsed="false">
      <c r="A4" s="3" t="s">
        <v>119</v>
      </c>
      <c r="B4" s="3"/>
      <c r="C4" s="3"/>
      <c r="D4" s="3"/>
    </row>
    <row r="5" customFormat="false" ht="18" hidden="false" customHeight="true" outlineLevel="0" collapsed="false">
      <c r="A5" s="14" t="s">
        <v>120</v>
      </c>
      <c r="B5" s="14" t="s">
        <v>121</v>
      </c>
      <c r="C5" s="14" t="s">
        <v>122</v>
      </c>
      <c r="D5" s="14" t="s">
        <v>123</v>
      </c>
    </row>
    <row r="6" customFormat="false" ht="16.5" hidden="false" customHeight="true" outlineLevel="0" collapsed="false">
      <c r="A6" s="4" t="s">
        <v>124</v>
      </c>
      <c r="B6" s="48" t="n">
        <f aca="false">Assumptions!B9</f>
        <v>98000000</v>
      </c>
      <c r="C6" s="48" t="n">
        <f aca="false">Assumptions!B9/Assumptions!B6</f>
        <v>0.98</v>
      </c>
      <c r="D6" s="26" t="s">
        <v>125</v>
      </c>
    </row>
    <row r="7" customFormat="false" ht="16.5" hidden="false" customHeight="true" outlineLevel="0" collapsed="false">
      <c r="A7" s="27" t="s">
        <v>126</v>
      </c>
      <c r="B7" s="25" t="n">
        <f aca="false">Assumptions!B8</f>
        <v>2000000</v>
      </c>
      <c r="C7" s="25" t="n">
        <f aca="false">Assumptions!B8/Assumptions!B6</f>
        <v>0.02</v>
      </c>
      <c r="D7" s="28" t="s">
        <v>127</v>
      </c>
    </row>
    <row r="8" customFormat="false" ht="16.5" hidden="false" customHeight="true" outlineLevel="0" collapsed="false">
      <c r="A8" s="57" t="s">
        <v>128</v>
      </c>
      <c r="B8" s="58" t="n">
        <f aca="false">Assumptions!B6</f>
        <v>100000000</v>
      </c>
      <c r="C8" s="59" t="n">
        <f aca="false">1</f>
        <v>1</v>
      </c>
      <c r="D8" s="58" t="n">
        <f aca="false">Assumptions!B6</f>
        <v>100000000</v>
      </c>
    </row>
    <row r="9" customFormat="false" ht="4.5" hidden="false" customHeight="true" outlineLevel="0" collapsed="false"/>
    <row r="10" customFormat="false" ht="16.5" hidden="false" customHeight="true" outlineLevel="0" collapsed="false">
      <c r="A10" s="4" t="s">
        <v>129</v>
      </c>
      <c r="B10" s="60" t="n">
        <f aca="false">Assumptions!B45</f>
        <v>0.95</v>
      </c>
      <c r="C10" s="61"/>
      <c r="D10" s="61" t="s">
        <v>130</v>
      </c>
    </row>
    <row r="11" customFormat="false" ht="16.5" hidden="false" customHeight="true" outlineLevel="0" collapsed="false">
      <c r="A11" s="62" t="s">
        <v>131</v>
      </c>
      <c r="B11" s="63" t="n">
        <f aca="false">Assumptions!B9*Assumptions!B45</f>
        <v>93100000</v>
      </c>
      <c r="C11" s="64"/>
      <c r="D11" s="63" t="n">
        <f aca="false">Assumptions!B9*Assumptions!B45</f>
        <v>93100000</v>
      </c>
    </row>
    <row r="12" customFormat="false" ht="16.5" hidden="false" customHeight="true" outlineLevel="0" collapsed="false">
      <c r="A12" s="4" t="s">
        <v>132</v>
      </c>
      <c r="B12" s="48" t="n">
        <f aca="false">Deal_Tracker!D10</f>
        <v>82000000</v>
      </c>
      <c r="C12" s="26"/>
      <c r="D12" s="48" t="n">
        <f aca="false">Deal_Tracker!D10</f>
        <v>82000000</v>
      </c>
    </row>
    <row r="13" customFormat="false" ht="16.5" hidden="false" customHeight="true" outlineLevel="0" collapsed="false">
      <c r="A13" s="65" t="s">
        <v>133</v>
      </c>
      <c r="B13" s="66" t="n">
        <f aca="false">-((Assumptions!B15*Assumptions!B6*5)+(Assumptions!B16*Deal_Tracker!D10*5))</f>
        <v>-16150000</v>
      </c>
      <c r="C13" s="67"/>
      <c r="D13" s="67" t="s">
        <v>134</v>
      </c>
    </row>
    <row r="14" customFormat="false" ht="7.5" hidden="false" customHeight="true" outlineLevel="0" collapsed="false"/>
    <row r="15" customFormat="false" ht="18" hidden="false" customHeight="true" outlineLevel="0" collapsed="false">
      <c r="A15" s="3" t="s">
        <v>135</v>
      </c>
      <c r="B15" s="3"/>
      <c r="C15" s="3"/>
      <c r="D15" s="3"/>
    </row>
    <row r="16" customFormat="false" ht="18" hidden="false" customHeight="true" outlineLevel="0" collapsed="false">
      <c r="A16" s="14" t="s">
        <v>136</v>
      </c>
      <c r="B16" s="14" t="s">
        <v>137</v>
      </c>
      <c r="C16" s="14" t="s">
        <v>138</v>
      </c>
      <c r="D16" s="14" t="s">
        <v>57</v>
      </c>
    </row>
    <row r="17" customFormat="false" ht="16.5" hidden="false" customHeight="true" outlineLevel="0" collapsed="false">
      <c r="A17" s="4" t="s">
        <v>139</v>
      </c>
      <c r="B17" s="48" t="n">
        <f aca="false">SUM(Deal_Tracker!G5:G8)</f>
        <v>174000000</v>
      </c>
      <c r="C17" s="26" t="s">
        <v>140</v>
      </c>
      <c r="D17" s="26" t="s">
        <v>141</v>
      </c>
    </row>
    <row r="18" customFormat="false" ht="16.5" hidden="false" customHeight="true" outlineLevel="0" collapsed="false">
      <c r="A18" s="68" t="s">
        <v>142</v>
      </c>
      <c r="B18" s="69" t="n">
        <f aca="false">Deal_Tracker!G9</f>
        <v>28000000</v>
      </c>
      <c r="C18" s="70" t="s">
        <v>140</v>
      </c>
      <c r="D18" s="70" t="s">
        <v>143</v>
      </c>
    </row>
    <row r="19" customFormat="false" ht="16.5" hidden="false" customHeight="true" outlineLevel="0" collapsed="false">
      <c r="A19" s="57" t="s">
        <v>144</v>
      </c>
      <c r="B19" s="59" t="n">
        <f aca="false">B17+B18</f>
        <v>202000000</v>
      </c>
      <c r="C19" s="59"/>
      <c r="D19" s="59" t="n">
        <f aca="false">B17+B18</f>
        <v>202000000</v>
      </c>
    </row>
    <row r="20" customFormat="false" ht="7.5" hidden="false" customHeight="true" outlineLevel="0" collapsed="false"/>
    <row r="21" customFormat="false" ht="18" hidden="false" customHeight="true" outlineLevel="0" collapsed="false">
      <c r="A21" s="3" t="s">
        <v>145</v>
      </c>
      <c r="B21" s="3"/>
      <c r="C21" s="3"/>
      <c r="D21" s="3"/>
    </row>
    <row r="22" customFormat="false" ht="21.75" hidden="false" customHeight="true" outlineLevel="0" collapsed="false">
      <c r="A22" s="29" t="s">
        <v>146</v>
      </c>
      <c r="B22" s="29"/>
      <c r="C22" s="29"/>
      <c r="D22" s="29"/>
    </row>
    <row r="23" customFormat="false" ht="18" hidden="false" customHeight="true" outlineLevel="0" collapsed="false">
      <c r="A23" s="14" t="s">
        <v>147</v>
      </c>
      <c r="B23" s="14" t="s">
        <v>148</v>
      </c>
      <c r="C23" s="14" t="s">
        <v>149</v>
      </c>
      <c r="D23" s="14" t="s">
        <v>150</v>
      </c>
    </row>
    <row r="24" customFormat="false" ht="16.5" hidden="false" customHeight="true" outlineLevel="0" collapsed="false">
      <c r="A24" s="4" t="s">
        <v>151</v>
      </c>
      <c r="B24" s="48" t="n">
        <f aca="false">Assumptions!B9*Assumptions!B40</f>
        <v>24500000</v>
      </c>
      <c r="C24" s="49" t="n">
        <f aca="false">Assumptions!B10-(1-1)</f>
        <v>10</v>
      </c>
      <c r="D24" s="26" t="n">
        <f aca="false">B24*(POWER(1+Assumptions!B20,C24)-1)</f>
        <v>28393662.4331833</v>
      </c>
    </row>
    <row r="25" customFormat="false" ht="16.5" hidden="false" customHeight="true" outlineLevel="0" collapsed="false">
      <c r="A25" s="27" t="s">
        <v>60</v>
      </c>
      <c r="B25" s="25" t="n">
        <f aca="false">Assumptions!B9*Assumptions!B41</f>
        <v>24500000</v>
      </c>
      <c r="C25" s="52" t="n">
        <f aca="false">Assumptions!B10-(2-1)</f>
        <v>9</v>
      </c>
      <c r="D25" s="28" t="n">
        <f aca="false">B25*(POWER(1+Assumptions!B20,C25)-1)</f>
        <v>24475613.3640586</v>
      </c>
    </row>
    <row r="26" customFormat="false" ht="16.5" hidden="false" customHeight="true" outlineLevel="0" collapsed="false">
      <c r="A26" s="4" t="s">
        <v>62</v>
      </c>
      <c r="B26" s="48" t="n">
        <f aca="false">Assumptions!B9*Assumptions!B42</f>
        <v>19600000</v>
      </c>
      <c r="C26" s="49" t="n">
        <f aca="false">Assumptions!B10-(3-1)</f>
        <v>8</v>
      </c>
      <c r="D26" s="26" t="n">
        <f aca="false">B26*(POWER(1+Assumptions!B20,C26)-1)</f>
        <v>16678232.1215249</v>
      </c>
    </row>
    <row r="27" customFormat="false" ht="16.5" hidden="false" customHeight="true" outlineLevel="0" collapsed="false">
      <c r="A27" s="27" t="s">
        <v>64</v>
      </c>
      <c r="B27" s="25" t="n">
        <f aca="false">Assumptions!B9*Assumptions!B43</f>
        <v>19600000</v>
      </c>
      <c r="C27" s="52" t="n">
        <f aca="false">Assumptions!B10-(4-1)</f>
        <v>7</v>
      </c>
      <c r="D27" s="28" t="n">
        <f aca="false">B27*(POWER(1+Assumptions!B20,C27)-1)</f>
        <v>13990955.6680786</v>
      </c>
    </row>
    <row r="28" customFormat="false" ht="16.5" hidden="false" customHeight="true" outlineLevel="0" collapsed="false">
      <c r="A28" s="4" t="s">
        <v>152</v>
      </c>
      <c r="B28" s="48" t="n">
        <f aca="false">Assumptions!B9*Assumptions!B44</f>
        <v>4900000</v>
      </c>
      <c r="C28" s="49" t="n">
        <f aca="false">Assumptions!B10-(5-1)</f>
        <v>6</v>
      </c>
      <c r="D28" s="26" t="n">
        <f aca="false">B28*(POWER(1+Assumptions!B20,C28)-1)</f>
        <v>2875684.1824256</v>
      </c>
    </row>
    <row r="29" customFormat="false" ht="18" hidden="false" customHeight="true" outlineLevel="0" collapsed="false">
      <c r="A29" s="17" t="s">
        <v>153</v>
      </c>
      <c r="B29" s="18" t="n">
        <f aca="false">SUM(B24:B28)</f>
        <v>93100000</v>
      </c>
      <c r="C29" s="44"/>
      <c r="D29" s="18" t="n">
        <f aca="false">SUM(D24:D28)</f>
        <v>86414147.769271</v>
      </c>
    </row>
    <row r="30" customFormat="false" ht="9.75" hidden="false" customHeight="true" outlineLevel="0" collapsed="false"/>
    <row r="31" customFormat="false" ht="18" hidden="false" customHeight="true" outlineLevel="0" collapsed="false">
      <c r="A31" s="3" t="s">
        <v>154</v>
      </c>
      <c r="B31" s="3"/>
      <c r="C31" s="3"/>
      <c r="D31" s="3"/>
    </row>
    <row r="32" customFormat="false" ht="18" hidden="false" customHeight="true" outlineLevel="0" collapsed="false">
      <c r="A32" s="14" t="s">
        <v>155</v>
      </c>
      <c r="B32" s="14" t="s">
        <v>156</v>
      </c>
      <c r="C32" s="14" t="s">
        <v>157</v>
      </c>
      <c r="D32" s="14" t="s">
        <v>158</v>
      </c>
    </row>
    <row r="33" customFormat="false" ht="13.5" hidden="false" customHeight="true" outlineLevel="0" collapsed="false">
      <c r="A33" s="29" t="s">
        <v>159</v>
      </c>
      <c r="B33" s="29"/>
      <c r="C33" s="29"/>
      <c r="D33" s="29"/>
    </row>
    <row r="34" customFormat="false" ht="19.5" hidden="false" customHeight="true" outlineLevel="0" collapsed="false">
      <c r="A34" s="17" t="s">
        <v>160</v>
      </c>
      <c r="B34" s="18" t="n">
        <f aca="false">MIN(B19,B11)</f>
        <v>93100000</v>
      </c>
      <c r="C34" s="18" t="n">
        <f aca="false">B34</f>
        <v>93100000</v>
      </c>
      <c r="D34" s="18" t="n">
        <f aca="false">0</f>
        <v>0</v>
      </c>
    </row>
    <row r="35" customFormat="false" ht="12.75" hidden="false" customHeight="true" outlineLevel="0" collapsed="false">
      <c r="A35" s="71" t="s">
        <v>161</v>
      </c>
      <c r="B35" s="71"/>
      <c r="C35" s="71"/>
      <c r="D35" s="71"/>
    </row>
    <row r="36" customFormat="false" ht="15" hidden="false" customHeight="true" outlineLevel="0" collapsed="false">
      <c r="A36" s="72" t="s">
        <v>162</v>
      </c>
      <c r="B36" s="73" t="n">
        <f aca="false">B19-B34</f>
        <v>108900000</v>
      </c>
      <c r="C36" s="74"/>
      <c r="D36" s="74"/>
    </row>
    <row r="37" customFormat="false" ht="4.5" hidden="false" customHeight="true" outlineLevel="0" collapsed="false"/>
    <row r="38" customFormat="false" ht="19.5" hidden="false" customHeight="true" outlineLevel="0" collapsed="false">
      <c r="A38" s="17" t="s">
        <v>163</v>
      </c>
      <c r="B38" s="18" t="n">
        <f aca="false">MIN(B36,D29)</f>
        <v>86414147.769271</v>
      </c>
      <c r="C38" s="18" t="n">
        <f aca="false">B38</f>
        <v>86414147.769271</v>
      </c>
      <c r="D38" s="18" t="n">
        <f aca="false">0</f>
        <v>0</v>
      </c>
    </row>
    <row r="39" customFormat="false" ht="12.75" hidden="false" customHeight="true" outlineLevel="0" collapsed="false">
      <c r="A39" s="71" t="s">
        <v>164</v>
      </c>
      <c r="B39" s="71"/>
      <c r="C39" s="71"/>
      <c r="D39" s="71"/>
    </row>
    <row r="40" customFormat="false" ht="15" hidden="false" customHeight="true" outlineLevel="0" collapsed="false">
      <c r="A40" s="72" t="s">
        <v>165</v>
      </c>
      <c r="B40" s="73" t="n">
        <f aca="false">B36-B38</f>
        <v>22485852.230729</v>
      </c>
      <c r="C40" s="74"/>
      <c r="D40" s="74"/>
    </row>
    <row r="41" customFormat="false" ht="4.5" hidden="false" customHeight="true" outlineLevel="0" collapsed="false"/>
    <row r="42" customFormat="false" ht="19.5" hidden="false" customHeight="true" outlineLevel="0" collapsed="false">
      <c r="A42" s="17" t="s">
        <v>166</v>
      </c>
      <c r="B42" s="18" t="n">
        <f aca="false">MIN(B40,Assumptions!B24*D29)</f>
        <v>21603536.9423178</v>
      </c>
      <c r="C42" s="18" t="n">
        <f aca="false">0</f>
        <v>0</v>
      </c>
      <c r="D42" s="18" t="n">
        <f aca="false">B42</f>
        <v>21603536.9423178</v>
      </c>
    </row>
    <row r="43" customFormat="false" ht="15" hidden="false" customHeight="true" outlineLevel="0" collapsed="false">
      <c r="A43" s="71" t="s">
        <v>167</v>
      </c>
      <c r="B43" s="71"/>
      <c r="C43" s="71"/>
      <c r="D43" s="71"/>
    </row>
    <row r="44" customFormat="false" ht="15" hidden="false" customHeight="true" outlineLevel="0" collapsed="false">
      <c r="A44" s="72" t="s">
        <v>168</v>
      </c>
      <c r="B44" s="73" t="n">
        <f aca="false">B40-B42</f>
        <v>882315.288411211</v>
      </c>
      <c r="C44" s="74"/>
      <c r="D44" s="74"/>
    </row>
    <row r="45" customFormat="false" ht="4.5" hidden="false" customHeight="true" outlineLevel="0" collapsed="false"/>
    <row r="46" customFormat="false" ht="19.5" hidden="false" customHeight="true" outlineLevel="0" collapsed="false">
      <c r="A46" s="17" t="s">
        <v>169</v>
      </c>
      <c r="B46" s="18" t="n">
        <f aca="false">B44</f>
        <v>882315.288411211</v>
      </c>
      <c r="C46" s="18" t="n">
        <f aca="false">B44*Assumptions!B22</f>
        <v>705852.230728969</v>
      </c>
      <c r="D46" s="18" t="n">
        <f aca="false">B44*Assumptions!B21</f>
        <v>176463.057682242</v>
      </c>
    </row>
    <row r="47" customFormat="false" ht="12.75" hidden="false" customHeight="true" outlineLevel="0" collapsed="false">
      <c r="A47" s="71" t="s">
        <v>170</v>
      </c>
      <c r="B47" s="71"/>
      <c r="C47" s="71"/>
      <c r="D47" s="71"/>
    </row>
    <row r="48" customFormat="false" ht="9.75" hidden="false" customHeight="true" outlineLevel="0" collapsed="false"/>
    <row r="49" customFormat="false" ht="18" hidden="false" customHeight="true" outlineLevel="0" collapsed="false">
      <c r="A49" s="3" t="s">
        <v>171</v>
      </c>
      <c r="B49" s="3"/>
      <c r="C49" s="3"/>
      <c r="D49" s="3"/>
    </row>
    <row r="50" customFormat="false" ht="18" hidden="false" customHeight="true" outlineLevel="0" collapsed="false">
      <c r="A50" s="14"/>
      <c r="B50" s="14" t="s">
        <v>172</v>
      </c>
      <c r="C50" s="14" t="s">
        <v>173</v>
      </c>
      <c r="D50" s="14" t="s">
        <v>174</v>
      </c>
    </row>
    <row r="51" customFormat="false" ht="16.5" hidden="false" customHeight="true" outlineLevel="0" collapsed="false">
      <c r="A51" s="4" t="s">
        <v>175</v>
      </c>
      <c r="B51" s="26" t="n">
        <f aca="false">B34</f>
        <v>93100000</v>
      </c>
      <c r="C51" s="26" t="n">
        <f aca="false">C34</f>
        <v>93100000</v>
      </c>
      <c r="D51" s="26" t="n">
        <f aca="false">D34</f>
        <v>0</v>
      </c>
    </row>
    <row r="52" customFormat="false" ht="16.5" hidden="false" customHeight="true" outlineLevel="0" collapsed="false">
      <c r="A52" s="27" t="s">
        <v>176</v>
      </c>
      <c r="B52" s="28" t="n">
        <f aca="false">B38</f>
        <v>86414147.769271</v>
      </c>
      <c r="C52" s="28" t="n">
        <f aca="false">C38</f>
        <v>86414147.769271</v>
      </c>
      <c r="D52" s="28" t="n">
        <f aca="false">D38</f>
        <v>0</v>
      </c>
    </row>
    <row r="53" customFormat="false" ht="16.5" hidden="false" customHeight="true" outlineLevel="0" collapsed="false">
      <c r="A53" s="4" t="s">
        <v>177</v>
      </c>
      <c r="B53" s="26" t="n">
        <f aca="false">B42</f>
        <v>21603536.9423178</v>
      </c>
      <c r="C53" s="26" t="n">
        <f aca="false">C42</f>
        <v>0</v>
      </c>
      <c r="D53" s="26" t="n">
        <f aca="false">D42</f>
        <v>21603536.9423178</v>
      </c>
    </row>
    <row r="54" customFormat="false" ht="16.5" hidden="false" customHeight="true" outlineLevel="0" collapsed="false">
      <c r="A54" s="27" t="s">
        <v>178</v>
      </c>
      <c r="B54" s="28" t="n">
        <f aca="false">B46</f>
        <v>882315.288411211</v>
      </c>
      <c r="C54" s="28" t="n">
        <f aca="false">C46</f>
        <v>705852.230728969</v>
      </c>
      <c r="D54" s="28" t="n">
        <f aca="false">D46</f>
        <v>176463.057682242</v>
      </c>
    </row>
    <row r="55" customFormat="false" ht="19.5" hidden="false" customHeight="true" outlineLevel="0" collapsed="false">
      <c r="A55" s="17" t="s">
        <v>179</v>
      </c>
      <c r="B55" s="18" t="n">
        <f aca="false">SUM(B51:B54)</f>
        <v>202000000</v>
      </c>
      <c r="C55" s="18" t="n">
        <f aca="false">SUM(C51:C54)</f>
        <v>180220000</v>
      </c>
      <c r="D55" s="18" t="n">
        <f aca="false">SUM(D51:D54)</f>
        <v>21780000</v>
      </c>
    </row>
    <row r="56" customFormat="false" ht="16.5" hidden="false" customHeight="true" outlineLevel="0" collapsed="false">
      <c r="A56" s="75" t="s">
        <v>180</v>
      </c>
      <c r="B56" s="70" t="n">
        <f aca="false">B55-B19</f>
        <v>0</v>
      </c>
      <c r="C56" s="74"/>
      <c r="D56" s="74"/>
    </row>
    <row r="57" customFormat="false" ht="9.75" hidden="false" customHeight="true" outlineLevel="0" collapsed="false"/>
    <row r="58" customFormat="false" ht="18" hidden="false" customHeight="true" outlineLevel="0" collapsed="false">
      <c r="A58" s="3" t="s">
        <v>181</v>
      </c>
      <c r="B58" s="3"/>
      <c r="C58" s="3"/>
      <c r="D58" s="3"/>
    </row>
    <row r="59" customFormat="false" ht="15.75" hidden="false" customHeight="true" outlineLevel="0" collapsed="false">
      <c r="A59" s="23" t="s">
        <v>182</v>
      </c>
      <c r="B59" s="23"/>
      <c r="C59" s="23"/>
      <c r="D59" s="23"/>
    </row>
    <row r="60" customFormat="false" ht="16.5" hidden="false" customHeight="true" outlineLevel="0" collapsed="false">
      <c r="A60" s="4" t="s">
        <v>183</v>
      </c>
      <c r="B60" s="9" t="n">
        <f aca="false">B11</f>
        <v>93100000</v>
      </c>
      <c r="C60" s="76"/>
      <c r="D60" s="6" t="s">
        <v>184</v>
      </c>
    </row>
    <row r="61" customFormat="false" ht="16.5" hidden="false" customHeight="true" outlineLevel="0" collapsed="false">
      <c r="A61" s="27" t="s">
        <v>185</v>
      </c>
      <c r="B61" s="77" t="n">
        <f aca="false">C55</f>
        <v>180220000</v>
      </c>
      <c r="C61" s="78"/>
      <c r="D61" s="55" t="s">
        <v>186</v>
      </c>
    </row>
    <row r="62" customFormat="false" ht="16.5" hidden="false" customHeight="true" outlineLevel="0" collapsed="false">
      <c r="A62" s="4" t="s">
        <v>187</v>
      </c>
      <c r="B62" s="9" t="n">
        <f aca="false">C55-B11</f>
        <v>87120000</v>
      </c>
      <c r="C62" s="76"/>
      <c r="D62" s="6" t="s">
        <v>188</v>
      </c>
    </row>
    <row r="63" customFormat="false" ht="16.5" hidden="false" customHeight="true" outlineLevel="0" collapsed="false">
      <c r="A63" s="27" t="s">
        <v>189</v>
      </c>
      <c r="B63" s="79" t="n">
        <f aca="false">C55/B11</f>
        <v>1.93576799140709</v>
      </c>
      <c r="C63" s="78"/>
      <c r="D63" s="55" t="s">
        <v>190</v>
      </c>
    </row>
    <row r="64" customFormat="false" ht="4.5" hidden="false" customHeight="true" outlineLevel="0" collapsed="false">
      <c r="A64" s="80"/>
      <c r="B64" s="80"/>
      <c r="C64" s="80"/>
      <c r="D64" s="80"/>
    </row>
    <row r="65" customFormat="false" ht="16.5" hidden="false" customHeight="true" outlineLevel="0" collapsed="false">
      <c r="A65" s="27" t="s">
        <v>191</v>
      </c>
      <c r="B65" s="77" t="n">
        <f aca="false">D42+D46</f>
        <v>21780000</v>
      </c>
      <c r="C65" s="78"/>
      <c r="D65" s="55" t="s">
        <v>192</v>
      </c>
    </row>
    <row r="66" customFormat="false" ht="16.5" hidden="false" customHeight="true" outlineLevel="0" collapsed="false">
      <c r="A66" s="4" t="s">
        <v>193</v>
      </c>
      <c r="B66" s="12" t="n">
        <f aca="false">(D42+D46)/(B55-B11)</f>
        <v>0.2</v>
      </c>
      <c r="C66" s="76"/>
      <c r="D66" s="6" t="s">
        <v>194</v>
      </c>
    </row>
    <row r="67" customFormat="false" ht="4.5" hidden="false" customHeight="true" outlineLevel="0" collapsed="false">
      <c r="A67" s="80"/>
      <c r="B67" s="80"/>
      <c r="C67" s="80"/>
      <c r="D67" s="80"/>
    </row>
    <row r="68" customFormat="false" ht="16.5" hidden="false" customHeight="true" outlineLevel="0" collapsed="false">
      <c r="A68" s="4" t="s">
        <v>195</v>
      </c>
      <c r="B68" s="12" t="n">
        <f aca="false">1-((D42+D46)/(B55-B11))</f>
        <v>0.8</v>
      </c>
      <c r="C68" s="76"/>
      <c r="D68" s="6" t="s">
        <v>196</v>
      </c>
    </row>
    <row r="69" customFormat="false" ht="16.5" hidden="false" customHeight="true" outlineLevel="0" collapsed="false"/>
  </sheetData>
  <mergeCells count="15">
    <mergeCell ref="A1:D1"/>
    <mergeCell ref="A2:D2"/>
    <mergeCell ref="A4:D4"/>
    <mergeCell ref="A15:D15"/>
    <mergeCell ref="A21:D21"/>
    <mergeCell ref="A22:D22"/>
    <mergeCell ref="A31:D31"/>
    <mergeCell ref="A33:D33"/>
    <mergeCell ref="A35:D35"/>
    <mergeCell ref="A39:D39"/>
    <mergeCell ref="A43:D43"/>
    <mergeCell ref="A47:D47"/>
    <mergeCell ref="A49:D49"/>
    <mergeCell ref="A58:D58"/>
    <mergeCell ref="A59:D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2828"/>
    <pageSetUpPr fitToPage="fals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8" min="2" style="1" width="16"/>
  </cols>
  <sheetData>
    <row r="1" customFormat="false" ht="31.5" hidden="false" customHeight="true" outlineLevel="0" collapsed="false">
      <c r="A1" s="56" t="s">
        <v>197</v>
      </c>
      <c r="B1" s="56"/>
      <c r="C1" s="56"/>
      <c r="D1" s="56"/>
      <c r="E1" s="56"/>
      <c r="F1" s="56"/>
      <c r="G1" s="56"/>
      <c r="H1" s="56"/>
    </row>
    <row r="2" customFormat="false" ht="27.75" hidden="false" customHeight="true" outlineLevel="0" collapsed="false">
      <c r="A2" s="81" t="s">
        <v>198</v>
      </c>
      <c r="B2" s="81"/>
      <c r="C2" s="81"/>
      <c r="D2" s="81"/>
      <c r="E2" s="81"/>
      <c r="F2" s="81"/>
      <c r="G2" s="81"/>
      <c r="H2" s="81"/>
    </row>
    <row r="3" customFormat="false" ht="7.5" hidden="false" customHeight="true" outlineLevel="0" collapsed="false"/>
    <row r="4" customFormat="false" ht="31.5" hidden="false" customHeight="true" outlineLevel="0" collapsed="false">
      <c r="A4" s="24" t="s">
        <v>155</v>
      </c>
      <c r="B4" s="24" t="s">
        <v>199</v>
      </c>
      <c r="C4" s="24" t="s">
        <v>200</v>
      </c>
      <c r="D4" s="24" t="s">
        <v>201</v>
      </c>
      <c r="E4" s="24" t="s">
        <v>202</v>
      </c>
      <c r="F4" s="24" t="s">
        <v>203</v>
      </c>
      <c r="G4" s="24" t="s">
        <v>204</v>
      </c>
      <c r="H4" s="24" t="s">
        <v>57</v>
      </c>
    </row>
    <row r="5" customFormat="false" ht="15.75" hidden="false" customHeight="true" outlineLevel="0" collapsed="false">
      <c r="A5" s="82" t="s">
        <v>205</v>
      </c>
      <c r="B5" s="82"/>
      <c r="C5" s="82"/>
      <c r="D5" s="82"/>
      <c r="E5" s="82"/>
      <c r="F5" s="82"/>
      <c r="G5" s="82"/>
      <c r="H5" s="82"/>
    </row>
    <row r="6" customFormat="false" ht="16.5" hidden="false" customHeight="true" outlineLevel="0" collapsed="false">
      <c r="A6" s="83" t="s">
        <v>206</v>
      </c>
      <c r="B6" s="84" t="n">
        <f aca="false">Deal_Tracker!G5</f>
        <v>42000000</v>
      </c>
      <c r="C6" s="84" t="n">
        <f aca="false">Deal_Tracker!G6</f>
        <v>7000000</v>
      </c>
      <c r="D6" s="84" t="n">
        <f aca="false">Deal_Tracker!G7</f>
        <v>70000000</v>
      </c>
      <c r="E6" s="84" t="n">
        <f aca="false">Deal_Tracker!G8</f>
        <v>55000000</v>
      </c>
      <c r="F6" s="84" t="n">
        <f aca="false">Deal_Tracker!G9</f>
        <v>28000000</v>
      </c>
      <c r="G6" s="84" t="n">
        <f aca="false">SUM(B6:F6)</f>
        <v>202000000</v>
      </c>
      <c r="H6" s="85" t="s">
        <v>207</v>
      </c>
    </row>
    <row r="7" customFormat="false" ht="16.5" hidden="false" customHeight="true" outlineLevel="0" collapsed="false">
      <c r="A7" s="83" t="s">
        <v>88</v>
      </c>
      <c r="B7" s="84" t="n">
        <f aca="false">Deal_Tracker!D5</f>
        <v>15000000</v>
      </c>
      <c r="C7" s="84" t="n">
        <f aca="false">Deal_Tracker!D6</f>
        <v>12000000</v>
      </c>
      <c r="D7" s="84" t="n">
        <f aca="false">Deal_Tracker!D7</f>
        <v>22000000</v>
      </c>
      <c r="E7" s="84" t="n">
        <f aca="false">Deal_Tracker!D8</f>
        <v>18000000</v>
      </c>
      <c r="F7" s="84" t="n">
        <f aca="false">Deal_Tracker!D9</f>
        <v>15000000</v>
      </c>
      <c r="G7" s="84" t="n">
        <f aca="false">SUM(B7:F7)</f>
        <v>82000000</v>
      </c>
      <c r="H7" s="85" t="s">
        <v>208</v>
      </c>
    </row>
    <row r="8" customFormat="false" ht="16.5" hidden="false" customHeight="true" outlineLevel="0" collapsed="false">
      <c r="A8" s="83" t="s">
        <v>209</v>
      </c>
      <c r="B8" s="86" t="n">
        <f aca="false">Deal_Tracker!F5</f>
        <v>3</v>
      </c>
      <c r="C8" s="86" t="n">
        <f aca="false">Deal_Tracker!F6</f>
        <v>4</v>
      </c>
      <c r="D8" s="86" t="n">
        <f aca="false">Deal_Tracker!F7</f>
        <v>5</v>
      </c>
      <c r="E8" s="86" t="n">
        <f aca="false">Deal_Tracker!F8</f>
        <v>5</v>
      </c>
      <c r="F8" s="86" t="n">
        <f aca="false">Deal_Tracker!F9</f>
        <v>3</v>
      </c>
      <c r="G8" s="87" t="s">
        <v>210</v>
      </c>
      <c r="H8" s="85"/>
    </row>
    <row r="9" customFormat="false" ht="16.5" hidden="false" customHeight="true" outlineLevel="0" collapsed="false">
      <c r="A9" s="83" t="s">
        <v>211</v>
      </c>
      <c r="B9" s="84" t="n">
        <f aca="false">Deal_Tracker!E14</f>
        <v>3895680</v>
      </c>
      <c r="C9" s="84" t="n">
        <f aca="false">Deal_Tracker!E15</f>
        <v>4325867.52</v>
      </c>
      <c r="D9" s="84" t="n">
        <f aca="false">Deal_Tracker!E16</f>
        <v>10325217.6896</v>
      </c>
      <c r="E9" s="84" t="n">
        <f aca="false">Deal_Tracker!E17</f>
        <v>8447905.38240001</v>
      </c>
      <c r="F9" s="84" t="n">
        <f aca="false">Deal_Tracker!E18</f>
        <v>3895680</v>
      </c>
      <c r="G9" s="84" t="n">
        <f aca="false">SUM(B9:F9)</f>
        <v>30890350.592</v>
      </c>
      <c r="H9" s="85" t="s">
        <v>212</v>
      </c>
    </row>
    <row r="10" customFormat="false" ht="6" hidden="false" customHeight="true" outlineLevel="0" collapsed="false"/>
    <row r="11" customFormat="false" ht="15.75" hidden="false" customHeight="true" outlineLevel="0" collapsed="false">
      <c r="A11" s="82" t="s">
        <v>213</v>
      </c>
      <c r="B11" s="82"/>
      <c r="C11" s="82"/>
      <c r="D11" s="82"/>
      <c r="E11" s="82"/>
      <c r="F11" s="82"/>
      <c r="G11" s="82"/>
      <c r="H11" s="82"/>
    </row>
    <row r="12" customFormat="false" ht="16.5" hidden="false" customHeight="true" outlineLevel="0" collapsed="false">
      <c r="A12" s="17" t="s">
        <v>214</v>
      </c>
      <c r="B12" s="18" t="n">
        <f aca="false">MIN(B6,B7)</f>
        <v>15000000</v>
      </c>
      <c r="C12" s="18" t="n">
        <f aca="false">MIN(C6,C7)</f>
        <v>7000000</v>
      </c>
      <c r="D12" s="18" t="n">
        <f aca="false">MIN(D6,D7)</f>
        <v>22000000</v>
      </c>
      <c r="E12" s="18" t="n">
        <f aca="false">MIN(E6,E7)</f>
        <v>18000000</v>
      </c>
      <c r="F12" s="18" t="n">
        <f aca="false">MIN(F6,F7)</f>
        <v>15000000</v>
      </c>
      <c r="G12" s="18" t="n">
        <f aca="false">SUM(B12:F12)</f>
        <v>77000000</v>
      </c>
      <c r="H12" s="17" t="s">
        <v>215</v>
      </c>
    </row>
    <row r="13" customFormat="false" ht="16.5" hidden="false" customHeight="true" outlineLevel="0" collapsed="false">
      <c r="A13" s="68" t="s">
        <v>162</v>
      </c>
      <c r="B13" s="70" t="n">
        <f aca="false">B6-B12</f>
        <v>27000000</v>
      </c>
      <c r="C13" s="70" t="n">
        <f aca="false">C6-C12</f>
        <v>0</v>
      </c>
      <c r="D13" s="70" t="n">
        <f aca="false">D6-D12</f>
        <v>48000000</v>
      </c>
      <c r="E13" s="70" t="n">
        <f aca="false">E6-E12</f>
        <v>37000000</v>
      </c>
      <c r="F13" s="70" t="n">
        <f aca="false">F6-F12</f>
        <v>13000000</v>
      </c>
      <c r="G13" s="70" t="n">
        <f aca="false">SUM(B13:F13)</f>
        <v>125000000</v>
      </c>
      <c r="H13" s="88" t="s">
        <v>216</v>
      </c>
    </row>
    <row r="14" customFormat="false" ht="16.5" hidden="false" customHeight="true" outlineLevel="0" collapsed="false">
      <c r="A14" s="17" t="s">
        <v>217</v>
      </c>
      <c r="B14" s="18" t="n">
        <f aca="false">MIN(B13,B9)</f>
        <v>3895680</v>
      </c>
      <c r="C14" s="18" t="n">
        <f aca="false">MIN(C13,C9)</f>
        <v>0</v>
      </c>
      <c r="D14" s="18" t="n">
        <f aca="false">MIN(D13,D9)</f>
        <v>10325217.6896</v>
      </c>
      <c r="E14" s="18" t="n">
        <f aca="false">MIN(E13,E9)</f>
        <v>8447905.38240001</v>
      </c>
      <c r="F14" s="18" t="n">
        <f aca="false">MIN(F13,F9)</f>
        <v>3895680</v>
      </c>
      <c r="G14" s="18" t="n">
        <f aca="false">SUM(B14:F14)</f>
        <v>26564483.072</v>
      </c>
      <c r="H14" s="17" t="s">
        <v>218</v>
      </c>
    </row>
    <row r="15" customFormat="false" ht="16.5" hidden="false" customHeight="true" outlineLevel="0" collapsed="false">
      <c r="A15" s="68" t="s">
        <v>165</v>
      </c>
      <c r="B15" s="70" t="n">
        <f aca="false">B13-B14</f>
        <v>23104320</v>
      </c>
      <c r="C15" s="70" t="n">
        <f aca="false">C13-C14</f>
        <v>0</v>
      </c>
      <c r="D15" s="70" t="n">
        <f aca="false">D13-D14</f>
        <v>37674782.3104</v>
      </c>
      <c r="E15" s="70" t="n">
        <f aca="false">E13-E14</f>
        <v>28552094.6176</v>
      </c>
      <c r="F15" s="70" t="n">
        <f aca="false">F13-F14</f>
        <v>9104320</v>
      </c>
      <c r="G15" s="70" t="n">
        <f aca="false">SUM(B15:F15)</f>
        <v>98435516.928</v>
      </c>
      <c r="H15" s="88" t="s">
        <v>219</v>
      </c>
    </row>
    <row r="16" customFormat="false" ht="16.5" hidden="false" customHeight="true" outlineLevel="0" collapsed="false">
      <c r="A16" s="17" t="s">
        <v>220</v>
      </c>
      <c r="B16" s="18" t="n">
        <f aca="false">MIN(B15,Assumptions!B24*B9)</f>
        <v>973920.000000001</v>
      </c>
      <c r="C16" s="18" t="n">
        <f aca="false">MIN(C15,Assumptions!B24*C9)</f>
        <v>0</v>
      </c>
      <c r="D16" s="18" t="n">
        <f aca="false">MIN(D15,Assumptions!B24*D9)</f>
        <v>2581304.4224</v>
      </c>
      <c r="E16" s="18" t="n">
        <f aca="false">MIN(E15,Assumptions!B24*E9)</f>
        <v>2111976.3456</v>
      </c>
      <c r="F16" s="18" t="n">
        <f aca="false">MIN(F15,Assumptions!B24*F9)</f>
        <v>973920.000000001</v>
      </c>
      <c r="G16" s="18" t="n">
        <f aca="false">SUM(B16:F16)</f>
        <v>6641120.76800001</v>
      </c>
      <c r="H16" s="17" t="s">
        <v>221</v>
      </c>
    </row>
    <row r="17" customFormat="false" ht="16.5" hidden="false" customHeight="true" outlineLevel="0" collapsed="false">
      <c r="A17" s="68" t="s">
        <v>168</v>
      </c>
      <c r="B17" s="70" t="n">
        <f aca="false">B15-B16</f>
        <v>22130400</v>
      </c>
      <c r="C17" s="70" t="n">
        <f aca="false">C15-C16</f>
        <v>0</v>
      </c>
      <c r="D17" s="70" t="n">
        <f aca="false">D15-D16</f>
        <v>35093477.888</v>
      </c>
      <c r="E17" s="70" t="n">
        <f aca="false">E15-E16</f>
        <v>26440118.272</v>
      </c>
      <c r="F17" s="70" t="n">
        <f aca="false">F15-F16</f>
        <v>8130400</v>
      </c>
      <c r="G17" s="70" t="n">
        <f aca="false">SUM(B17:F17)</f>
        <v>91794396.16</v>
      </c>
      <c r="H17" s="88" t="s">
        <v>222</v>
      </c>
    </row>
    <row r="18" customFormat="false" ht="18" hidden="false" customHeight="true" outlineLevel="0" collapsed="false">
      <c r="A18" s="3" t="s">
        <v>223</v>
      </c>
      <c r="B18" s="3"/>
      <c r="C18" s="3"/>
      <c r="D18" s="3"/>
      <c r="E18" s="3"/>
      <c r="F18" s="3"/>
      <c r="G18" s="3"/>
      <c r="H18" s="3"/>
    </row>
    <row r="19" customFormat="false" ht="16.5" hidden="false" customHeight="true" outlineLevel="0" collapsed="false">
      <c r="A19" s="4" t="s">
        <v>224</v>
      </c>
      <c r="B19" s="26" t="n">
        <f aca="false">B17*Assumptions!B22</f>
        <v>17704320</v>
      </c>
      <c r="C19" s="26" t="n">
        <f aca="false">C17*Assumptions!B22</f>
        <v>0</v>
      </c>
      <c r="D19" s="26" t="n">
        <f aca="false">D17*Assumptions!B22</f>
        <v>28074782.3104</v>
      </c>
      <c r="E19" s="26" t="n">
        <f aca="false">E17*Assumptions!B22</f>
        <v>21152094.6176</v>
      </c>
      <c r="F19" s="26" t="n">
        <f aca="false">F17*Assumptions!B22</f>
        <v>6504320</v>
      </c>
      <c r="G19" s="26" t="n">
        <f aca="false">SUM(B19:F19)</f>
        <v>73435516.928</v>
      </c>
      <c r="H19" s="6"/>
    </row>
    <row r="20" customFormat="false" ht="16.5" hidden="false" customHeight="true" outlineLevel="0" collapsed="false">
      <c r="A20" s="27" t="s">
        <v>225</v>
      </c>
      <c r="B20" s="28" t="n">
        <f aca="false">B17*Assumptions!B21</f>
        <v>4426080</v>
      </c>
      <c r="C20" s="28" t="n">
        <f aca="false">C17*Assumptions!B21</f>
        <v>0</v>
      </c>
      <c r="D20" s="28" t="n">
        <f aca="false">D17*Assumptions!B21</f>
        <v>7018695.5776</v>
      </c>
      <c r="E20" s="28" t="n">
        <f aca="false">E17*Assumptions!B21</f>
        <v>5288023.6544</v>
      </c>
      <c r="F20" s="28" t="n">
        <f aca="false">F17*Assumptions!B21</f>
        <v>1626080</v>
      </c>
      <c r="G20" s="28" t="n">
        <f aca="false">SUM(B20:F20)</f>
        <v>18358879.232</v>
      </c>
      <c r="H20" s="55"/>
    </row>
    <row r="21" customFormat="false" ht="6" hidden="false" customHeight="true" outlineLevel="0" collapsed="false"/>
    <row r="22" customFormat="false" ht="15.75" hidden="false" customHeight="true" outlineLevel="0" collapsed="false">
      <c r="A22" s="82" t="s">
        <v>226</v>
      </c>
      <c r="B22" s="82"/>
      <c r="C22" s="82"/>
      <c r="D22" s="82"/>
      <c r="E22" s="82"/>
      <c r="F22" s="82"/>
      <c r="G22" s="82"/>
      <c r="H22" s="82"/>
    </row>
    <row r="23" customFormat="false" ht="16.5" hidden="false" customHeight="true" outlineLevel="0" collapsed="false">
      <c r="A23" s="89" t="s">
        <v>227</v>
      </c>
      <c r="B23" s="90" t="n">
        <f aca="false">B12+B14+B19</f>
        <v>36600000</v>
      </c>
      <c r="C23" s="90" t="n">
        <f aca="false">C12+C14+C19</f>
        <v>7000000</v>
      </c>
      <c r="D23" s="90" t="n">
        <f aca="false">D12+D14+D19</f>
        <v>60400000</v>
      </c>
      <c r="E23" s="90" t="n">
        <f aca="false">E12+E14+E19</f>
        <v>47600000</v>
      </c>
      <c r="F23" s="90" t="n">
        <f aca="false">F12+F14+F19</f>
        <v>25400000</v>
      </c>
      <c r="G23" s="90" t="n">
        <f aca="false">SUM(B23:F23)</f>
        <v>177000000</v>
      </c>
      <c r="H23" s="91"/>
    </row>
    <row r="24" customFormat="false" ht="16.5" hidden="false" customHeight="true" outlineLevel="0" collapsed="false">
      <c r="A24" s="92" t="s">
        <v>228</v>
      </c>
      <c r="B24" s="93" t="n">
        <f aca="false">B16+B20</f>
        <v>5400000</v>
      </c>
      <c r="C24" s="93" t="n">
        <f aca="false">C16+C20</f>
        <v>0</v>
      </c>
      <c r="D24" s="93" t="n">
        <f aca="false">D16+D20</f>
        <v>9600000</v>
      </c>
      <c r="E24" s="93" t="n">
        <f aca="false">E16+E20</f>
        <v>7400000</v>
      </c>
      <c r="F24" s="93" t="n">
        <f aca="false">F16+F20</f>
        <v>2600000</v>
      </c>
      <c r="G24" s="93" t="n">
        <f aca="false">SUM(B24:F24)</f>
        <v>25000000</v>
      </c>
      <c r="H24" s="94" t="s">
        <v>229</v>
      </c>
    </row>
    <row r="25" customFormat="false" ht="16.5" hidden="false" customHeight="true" outlineLevel="0" collapsed="false">
      <c r="A25" s="68" t="s">
        <v>230</v>
      </c>
      <c r="B25" s="70" t="n">
        <f aca="false">B23+B24-B6</f>
        <v>0</v>
      </c>
      <c r="C25" s="70" t="n">
        <f aca="false">C23+C24-C6</f>
        <v>0</v>
      </c>
      <c r="D25" s="70" t="n">
        <f aca="false">D23+D24-D6</f>
        <v>0</v>
      </c>
      <c r="E25" s="70" t="n">
        <f aca="false">E23+E24-E6</f>
        <v>0</v>
      </c>
      <c r="F25" s="70" t="n">
        <f aca="false">F23+F24-F6</f>
        <v>0</v>
      </c>
      <c r="G25" s="70" t="n">
        <f aca="false">SUM(B25:F25)</f>
        <v>0</v>
      </c>
      <c r="H25" s="88" t="s">
        <v>231</v>
      </c>
    </row>
    <row r="26" customFormat="false" ht="9.75" hidden="false" customHeight="true" outlineLevel="0" collapsed="false"/>
    <row r="27" customFormat="false" ht="19.5" hidden="false" customHeight="true" outlineLevel="0" collapsed="false">
      <c r="A27" s="3" t="s">
        <v>232</v>
      </c>
      <c r="B27" s="3"/>
      <c r="C27" s="3"/>
      <c r="D27" s="3"/>
      <c r="E27" s="3"/>
      <c r="F27" s="3"/>
      <c r="G27" s="3"/>
      <c r="H27" s="3"/>
    </row>
    <row r="28" customFormat="false" ht="34.5" hidden="false" customHeight="true" outlineLevel="0" collapsed="false">
      <c r="A28" s="81" t="s">
        <v>233</v>
      </c>
      <c r="B28" s="81"/>
      <c r="C28" s="81"/>
      <c r="D28" s="81"/>
      <c r="E28" s="81"/>
      <c r="F28" s="81"/>
      <c r="G28" s="81"/>
      <c r="H28" s="81"/>
    </row>
    <row r="29" customFormat="false" ht="15.75" hidden="false" customHeight="true" outlineLevel="0" collapsed="false">
      <c r="A29" s="14" t="s">
        <v>234</v>
      </c>
      <c r="B29" s="14" t="s">
        <v>137</v>
      </c>
      <c r="C29" s="14" t="s">
        <v>57</v>
      </c>
    </row>
    <row r="30" customFormat="false" ht="16.5" hidden="false" customHeight="true" outlineLevel="0" collapsed="false">
      <c r="A30" s="4" t="s">
        <v>235</v>
      </c>
      <c r="B30" s="26" t="n">
        <f aca="false">G24</f>
        <v>25000000</v>
      </c>
      <c r="C30" s="6" t="s">
        <v>236</v>
      </c>
      <c r="D30" s="51"/>
      <c r="E30" s="51"/>
      <c r="F30" s="51"/>
      <c r="G30" s="51"/>
      <c r="H30" s="51"/>
    </row>
    <row r="31" customFormat="false" ht="16.5" hidden="false" customHeight="true" outlineLevel="0" collapsed="false">
      <c r="A31" s="27" t="s">
        <v>237</v>
      </c>
      <c r="B31" s="25" t="n">
        <f aca="false">European_Waterfall!D42+European_Waterfall!D46</f>
        <v>21780000</v>
      </c>
      <c r="C31" s="55" t="s">
        <v>238</v>
      </c>
      <c r="D31" s="54"/>
      <c r="E31" s="54"/>
      <c r="F31" s="54"/>
      <c r="G31" s="54"/>
      <c r="H31" s="54"/>
    </row>
    <row r="32" customFormat="false" ht="16.5" hidden="false" customHeight="true" outlineLevel="0" collapsed="false">
      <c r="A32" s="92" t="s">
        <v>239</v>
      </c>
      <c r="B32" s="93" t="n">
        <f aca="false">MAX(0,B30-B31)</f>
        <v>3220000</v>
      </c>
      <c r="C32" s="94" t="s">
        <v>240</v>
      </c>
      <c r="D32" s="95"/>
      <c r="E32" s="95"/>
      <c r="F32" s="95"/>
      <c r="G32" s="95"/>
      <c r="H32" s="95"/>
    </row>
    <row r="33" customFormat="false" ht="16.5" hidden="false" customHeight="true" outlineLevel="0" collapsed="false">
      <c r="A33" s="27" t="s">
        <v>241</v>
      </c>
      <c r="B33" s="28" t="n">
        <f aca="false">B30-B32</f>
        <v>21780000</v>
      </c>
      <c r="C33" s="55" t="s">
        <v>242</v>
      </c>
      <c r="D33" s="54"/>
      <c r="E33" s="54"/>
      <c r="F33" s="54"/>
      <c r="G33" s="54"/>
      <c r="H33" s="54"/>
    </row>
    <row r="34" customFormat="false" ht="16.5" hidden="false" customHeight="true" outlineLevel="0" collapsed="false">
      <c r="A34" s="30" t="s">
        <v>243</v>
      </c>
      <c r="B34" s="9" t="n">
        <f aca="false">B33-B31</f>
        <v>0</v>
      </c>
      <c r="C34" s="6" t="s">
        <v>244</v>
      </c>
      <c r="D34" s="51"/>
      <c r="E34" s="51"/>
      <c r="F34" s="51"/>
      <c r="G34" s="51"/>
      <c r="H34" s="51"/>
    </row>
  </sheetData>
  <mergeCells count="8">
    <mergeCell ref="A1:H1"/>
    <mergeCell ref="A2:H2"/>
    <mergeCell ref="A5:H5"/>
    <mergeCell ref="A11:H11"/>
    <mergeCell ref="A18:H18"/>
    <mergeCell ref="A22:H22"/>
    <mergeCell ref="A27:H27"/>
    <mergeCell ref="A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7F17"/>
    <pageSetUpPr fitToPage="false"/>
  </sheetPr>
  <dimension ref="A1:E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5" min="2" style="1" width="20"/>
  </cols>
  <sheetData>
    <row r="1" customFormat="false" ht="31.5" hidden="false" customHeight="true" outlineLevel="0" collapsed="false">
      <c r="A1" s="56" t="s">
        <v>245</v>
      </c>
      <c r="B1" s="56"/>
      <c r="C1" s="56"/>
      <c r="D1" s="56"/>
      <c r="E1" s="56"/>
    </row>
    <row r="2" customFormat="false" ht="27.75" hidden="false" customHeight="true" outlineLevel="0" collapsed="false">
      <c r="A2" s="23" t="s">
        <v>246</v>
      </c>
      <c r="B2" s="23"/>
      <c r="C2" s="23"/>
      <c r="D2" s="23"/>
      <c r="E2" s="23"/>
    </row>
    <row r="3" customFormat="false" ht="7.5" hidden="false" customHeight="true" outlineLevel="0" collapsed="false"/>
    <row r="4" customFormat="false" ht="18" hidden="false" customHeight="true" outlineLevel="0" collapsed="false">
      <c r="A4" s="3" t="s">
        <v>247</v>
      </c>
      <c r="B4" s="3"/>
      <c r="C4" s="3"/>
      <c r="D4" s="3"/>
      <c r="E4" s="3"/>
    </row>
    <row r="5" customFormat="false" ht="18" hidden="false" customHeight="true" outlineLevel="0" collapsed="false">
      <c r="A5" s="14" t="s">
        <v>234</v>
      </c>
      <c r="B5" s="14" t="s">
        <v>248</v>
      </c>
      <c r="C5" s="14" t="s">
        <v>249</v>
      </c>
    </row>
    <row r="6" customFormat="false" ht="18" hidden="false" customHeight="true" outlineLevel="0" collapsed="false">
      <c r="A6" s="4" t="s">
        <v>250</v>
      </c>
      <c r="B6" s="96" t="n">
        <f aca="false">European_Waterfall!B11</f>
        <v>93100000</v>
      </c>
      <c r="C6" s="23" t="s">
        <v>251</v>
      </c>
      <c r="D6" s="23"/>
      <c r="E6" s="23"/>
    </row>
    <row r="7" customFormat="false" ht="18" hidden="false" customHeight="true" outlineLevel="0" collapsed="false">
      <c r="A7" s="27" t="s">
        <v>252</v>
      </c>
      <c r="B7" s="97" t="n">
        <f aca="false">SUM(Deal_Tracker!G5:G8)</f>
        <v>174000000</v>
      </c>
      <c r="C7" s="98" t="s">
        <v>253</v>
      </c>
      <c r="D7" s="98"/>
      <c r="E7" s="98"/>
    </row>
    <row r="8" customFormat="false" ht="18" hidden="false" customHeight="true" outlineLevel="0" collapsed="false">
      <c r="A8" s="4" t="s">
        <v>254</v>
      </c>
      <c r="B8" s="96" t="n">
        <f aca="false">Deal_Tracker!G9</f>
        <v>28000000</v>
      </c>
      <c r="C8" s="23" t="s">
        <v>255</v>
      </c>
      <c r="D8" s="23"/>
      <c r="E8" s="23"/>
    </row>
    <row r="9" customFormat="false" ht="18" hidden="false" customHeight="true" outlineLevel="0" collapsed="false">
      <c r="A9" s="27" t="s">
        <v>256</v>
      </c>
      <c r="B9" s="99" t="n">
        <f aca="false">B7+B8</f>
        <v>202000000</v>
      </c>
      <c r="C9" s="98" t="s">
        <v>257</v>
      </c>
      <c r="D9" s="98"/>
      <c r="E9" s="98"/>
    </row>
    <row r="10" customFormat="false" ht="7.5" hidden="false" customHeight="true" outlineLevel="0" collapsed="false"/>
    <row r="11" customFormat="false" ht="18" hidden="false" customHeight="true" outlineLevel="0" collapsed="false">
      <c r="A11" s="89" t="s">
        <v>258</v>
      </c>
      <c r="B11" s="100" t="n">
        <f aca="false">B9/B6</f>
        <v>2.16970998925886</v>
      </c>
      <c r="C11" s="101" t="s">
        <v>259</v>
      </c>
      <c r="D11" s="101"/>
      <c r="E11" s="101"/>
    </row>
    <row r="12" customFormat="false" ht="18" hidden="false" customHeight="true" outlineLevel="0" collapsed="false">
      <c r="A12" s="89" t="s">
        <v>260</v>
      </c>
      <c r="B12" s="100" t="n">
        <f aca="false">B7/B6</f>
        <v>1.86895810955961</v>
      </c>
      <c r="C12" s="101" t="s">
        <v>261</v>
      </c>
      <c r="D12" s="101"/>
      <c r="E12" s="101"/>
    </row>
    <row r="13" customFormat="false" ht="18" hidden="false" customHeight="true" outlineLevel="0" collapsed="false">
      <c r="A13" s="89" t="s">
        <v>262</v>
      </c>
      <c r="B13" s="100" t="n">
        <f aca="false">B8/B6</f>
        <v>0.300751879699248</v>
      </c>
      <c r="C13" s="101" t="s">
        <v>263</v>
      </c>
      <c r="D13" s="101"/>
      <c r="E13" s="101"/>
    </row>
    <row r="14" customFormat="false" ht="18" hidden="false" customHeight="true" outlineLevel="0" collapsed="false">
      <c r="A14" s="68" t="s">
        <v>264</v>
      </c>
      <c r="B14" s="102" t="n">
        <f aca="false">B11-B12-B13</f>
        <v>0</v>
      </c>
      <c r="C14" s="23" t="s">
        <v>265</v>
      </c>
      <c r="D14" s="23"/>
      <c r="E14" s="23"/>
    </row>
    <row r="15" customFormat="false" ht="9.75" hidden="false" customHeight="true" outlineLevel="0" collapsed="false"/>
    <row r="16" customFormat="false" ht="18" hidden="false" customHeight="true" outlineLevel="0" collapsed="false">
      <c r="A16" s="3" t="s">
        <v>266</v>
      </c>
      <c r="B16" s="3"/>
      <c r="C16" s="3"/>
      <c r="D16" s="3"/>
      <c r="E16" s="3"/>
    </row>
    <row r="17" customFormat="false" ht="18" hidden="false" customHeight="true" outlineLevel="0" collapsed="false">
      <c r="A17" s="14" t="s">
        <v>267</v>
      </c>
      <c r="B17" s="14" t="s">
        <v>248</v>
      </c>
      <c r="C17" s="14" t="s">
        <v>268</v>
      </c>
    </row>
    <row r="18" customFormat="false" ht="27.75" hidden="false" customHeight="true" outlineLevel="0" collapsed="false">
      <c r="A18" s="29" t="s">
        <v>269</v>
      </c>
      <c r="B18" s="29"/>
      <c r="C18" s="29"/>
      <c r="D18" s="29"/>
      <c r="E18" s="29"/>
    </row>
    <row r="19" customFormat="false" ht="4.5" hidden="false" customHeight="true" outlineLevel="0" collapsed="false"/>
    <row r="20" customFormat="false" ht="30" hidden="false" customHeight="true" outlineLevel="0" collapsed="false">
      <c r="A20" s="24" t="s">
        <v>270</v>
      </c>
      <c r="B20" s="24" t="s">
        <v>271</v>
      </c>
      <c r="C20" s="24" t="s">
        <v>272</v>
      </c>
      <c r="D20" s="24" t="s">
        <v>273</v>
      </c>
      <c r="E20" s="24" t="s">
        <v>57</v>
      </c>
    </row>
    <row r="21" customFormat="false" ht="16.5" hidden="false" customHeight="true" outlineLevel="0" collapsed="false">
      <c r="A21" s="31" t="s">
        <v>274</v>
      </c>
      <c r="B21" s="26" t="n">
        <f aca="false">-European_Waterfall!B24</f>
        <v>-24500000</v>
      </c>
      <c r="C21" s="26" t="n">
        <f aca="false">0</f>
        <v>0</v>
      </c>
      <c r="D21" s="26" t="n">
        <f aca="false">B21+C21</f>
        <v>-24500000</v>
      </c>
      <c r="E21" s="6" t="s">
        <v>275</v>
      </c>
    </row>
    <row r="22" customFormat="false" ht="16.5" hidden="false" customHeight="true" outlineLevel="0" collapsed="false">
      <c r="A22" s="37" t="s">
        <v>276</v>
      </c>
      <c r="B22" s="28" t="n">
        <f aca="false">-European_Waterfall!B25</f>
        <v>-24500000</v>
      </c>
      <c r="C22" s="28" t="n">
        <f aca="false">0</f>
        <v>0</v>
      </c>
      <c r="D22" s="28" t="n">
        <f aca="false">B22+C22</f>
        <v>-24500000</v>
      </c>
      <c r="E22" s="55" t="s">
        <v>277</v>
      </c>
    </row>
    <row r="23" customFormat="false" ht="16.5" hidden="false" customHeight="true" outlineLevel="0" collapsed="false">
      <c r="A23" s="31" t="s">
        <v>278</v>
      </c>
      <c r="B23" s="26" t="n">
        <f aca="false">-European_Waterfall!B26</f>
        <v>-19600000</v>
      </c>
      <c r="C23" s="26" t="n">
        <f aca="false">0</f>
        <v>0</v>
      </c>
      <c r="D23" s="26" t="n">
        <f aca="false">B23+C23</f>
        <v>-19600000</v>
      </c>
      <c r="E23" s="6"/>
    </row>
    <row r="24" customFormat="false" ht="16.5" hidden="false" customHeight="true" outlineLevel="0" collapsed="false">
      <c r="A24" s="37" t="s">
        <v>279</v>
      </c>
      <c r="B24" s="28" t="n">
        <f aca="false">-European_Waterfall!B27</f>
        <v>-19600000</v>
      </c>
      <c r="C24" s="28" t="n">
        <f aca="false">Deal_Tracker!G5*European_Waterfall!C55/European_Waterfall!B19</f>
        <v>37471485.1485149</v>
      </c>
      <c r="D24" s="28" t="n">
        <f aca="false">B24+C24</f>
        <v>17871485.1485149</v>
      </c>
      <c r="E24" s="55" t="s">
        <v>280</v>
      </c>
    </row>
    <row r="25" customFormat="false" ht="16.5" hidden="false" customHeight="true" outlineLevel="0" collapsed="false">
      <c r="A25" s="31" t="s">
        <v>281</v>
      </c>
      <c r="B25" s="26" t="n">
        <f aca="false">-European_Waterfall!B28</f>
        <v>-4900000</v>
      </c>
      <c r="C25" s="26" t="n">
        <f aca="false">Deal_Tracker!G6*European_Waterfall!C55/European_Waterfall!B19</f>
        <v>6245247.52475248</v>
      </c>
      <c r="D25" s="26" t="n">
        <f aca="false">B25+C25</f>
        <v>1345247.52475248</v>
      </c>
      <c r="E25" s="6" t="s">
        <v>282</v>
      </c>
    </row>
    <row r="26" customFormat="false" ht="16.5" hidden="false" customHeight="true" outlineLevel="0" collapsed="false">
      <c r="A26" s="37" t="s">
        <v>283</v>
      </c>
      <c r="B26" s="28" t="n">
        <f aca="false">0</f>
        <v>0</v>
      </c>
      <c r="C26" s="28" t="n">
        <f aca="false">0</f>
        <v>0</v>
      </c>
      <c r="D26" s="28" t="n">
        <f aca="false">B26+C26</f>
        <v>0</v>
      </c>
      <c r="E26" s="55" t="s">
        <v>284</v>
      </c>
    </row>
    <row r="27" customFormat="false" ht="16.5" hidden="false" customHeight="true" outlineLevel="0" collapsed="false">
      <c r="A27" s="31" t="s">
        <v>285</v>
      </c>
      <c r="B27" s="26" t="n">
        <f aca="false">0</f>
        <v>0</v>
      </c>
      <c r="C27" s="26" t="n">
        <f aca="false">Deal_Tracker!G7*European_Waterfall!C55/European_Waterfall!B19</f>
        <v>62452475.2475248</v>
      </c>
      <c r="D27" s="26" t="n">
        <f aca="false">B27+C27</f>
        <v>62452475.2475248</v>
      </c>
      <c r="E27" s="6" t="s">
        <v>286</v>
      </c>
    </row>
    <row r="28" customFormat="false" ht="16.5" hidden="false" customHeight="true" outlineLevel="0" collapsed="false">
      <c r="A28" s="37" t="s">
        <v>287</v>
      </c>
      <c r="B28" s="28" t="n">
        <f aca="false">0</f>
        <v>0</v>
      </c>
      <c r="C28" s="28" t="n">
        <f aca="false">Deal_Tracker!G8*European_Waterfall!C55/European_Waterfall!B19</f>
        <v>49069801.980198</v>
      </c>
      <c r="D28" s="28" t="n">
        <f aca="false">B28+C28</f>
        <v>49069801.980198</v>
      </c>
      <c r="E28" s="55" t="s">
        <v>288</v>
      </c>
    </row>
    <row r="29" customFormat="false" ht="16.5" hidden="false" customHeight="true" outlineLevel="0" collapsed="false">
      <c r="A29" s="31" t="s">
        <v>289</v>
      </c>
      <c r="B29" s="26" t="n">
        <f aca="false">0</f>
        <v>0</v>
      </c>
      <c r="C29" s="26" t="n">
        <f aca="false">0</f>
        <v>0</v>
      </c>
      <c r="D29" s="26" t="n">
        <f aca="false">B29+C29</f>
        <v>0</v>
      </c>
      <c r="E29" s="6"/>
    </row>
    <row r="30" customFormat="false" ht="16.5" hidden="false" customHeight="true" outlineLevel="0" collapsed="false">
      <c r="A30" s="37" t="s">
        <v>290</v>
      </c>
      <c r="B30" s="28" t="n">
        <f aca="false">0</f>
        <v>0</v>
      </c>
      <c r="C30" s="28" t="n">
        <f aca="false">Deal_Tracker!G9*European_Waterfall!C55/European_Waterfall!B19</f>
        <v>24980990.0990099</v>
      </c>
      <c r="D30" s="28" t="n">
        <f aca="false">B30+C30</f>
        <v>24980990.0990099</v>
      </c>
      <c r="E30" s="55" t="s">
        <v>291</v>
      </c>
    </row>
    <row r="31" customFormat="false" ht="21.75" hidden="false" customHeight="true" outlineLevel="0" collapsed="false">
      <c r="A31" s="103" t="s">
        <v>292</v>
      </c>
      <c r="B31" s="104" t="n">
        <f aca="false">IRR(D21:D30)</f>
        <v>0.165782216110286</v>
      </c>
      <c r="C31" s="105" t="s">
        <v>293</v>
      </c>
      <c r="D31" s="105"/>
      <c r="E31" s="105"/>
    </row>
    <row r="32" customFormat="false" ht="9.75" hidden="false" customHeight="true" outlineLevel="0" collapsed="false"/>
    <row r="33" customFormat="false" ht="18" hidden="false" customHeight="true" outlineLevel="0" collapsed="false">
      <c r="A33" s="3" t="s">
        <v>294</v>
      </c>
      <c r="B33" s="3"/>
      <c r="C33" s="3"/>
      <c r="D33" s="3"/>
      <c r="E33" s="3"/>
    </row>
    <row r="34" customFormat="false" ht="18" hidden="false" customHeight="true" outlineLevel="0" collapsed="false">
      <c r="A34" s="14" t="s">
        <v>234</v>
      </c>
      <c r="B34" s="14" t="s">
        <v>295</v>
      </c>
      <c r="C34" s="14" t="s">
        <v>296</v>
      </c>
      <c r="D34" s="14" t="s">
        <v>297</v>
      </c>
    </row>
    <row r="35" customFormat="false" ht="16.5" hidden="false" customHeight="true" outlineLevel="0" collapsed="false">
      <c r="A35" s="4" t="s">
        <v>298</v>
      </c>
      <c r="B35" s="48" t="n">
        <f aca="false">European_Waterfall!C55</f>
        <v>180220000</v>
      </c>
      <c r="C35" s="48" t="n">
        <f aca="false">American_Waterfall!B23</f>
        <v>36600000</v>
      </c>
      <c r="D35" s="26" t="n">
        <f aca="false">C35-B35</f>
        <v>-143620000</v>
      </c>
      <c r="E35" s="51"/>
    </row>
    <row r="36" customFormat="false" ht="16.5" hidden="false" customHeight="true" outlineLevel="0" collapsed="false">
      <c r="A36" s="27" t="s">
        <v>299</v>
      </c>
      <c r="B36" s="25" t="n">
        <f aca="false">European_Waterfall!D55</f>
        <v>21780000</v>
      </c>
      <c r="C36" s="25" t="n">
        <f aca="false">American_Waterfall!G24</f>
        <v>25000000</v>
      </c>
      <c r="D36" s="28" t="n">
        <f aca="false">C36-B36</f>
        <v>3220000</v>
      </c>
      <c r="E36" s="54"/>
    </row>
    <row r="37" customFormat="false" ht="16.5" hidden="false" customHeight="true" outlineLevel="0" collapsed="false">
      <c r="A37" s="4" t="s">
        <v>300</v>
      </c>
      <c r="B37" s="48" t="n">
        <f aca="false">0</f>
        <v>0</v>
      </c>
      <c r="C37" s="48" t="n">
        <f aca="false">American_Waterfall!B32</f>
        <v>3220000</v>
      </c>
      <c r="D37" s="26" t="n">
        <f aca="false">C37-B37</f>
        <v>3220000</v>
      </c>
      <c r="E37" s="51"/>
    </row>
    <row r="38" customFormat="false" ht="16.5" hidden="false" customHeight="true" outlineLevel="0" collapsed="false">
      <c r="A38" s="27" t="s">
        <v>301</v>
      </c>
      <c r="B38" s="25" t="n">
        <f aca="false">European_Waterfall!D55</f>
        <v>21780000</v>
      </c>
      <c r="C38" s="25" t="n">
        <f aca="false">American_Waterfall!B33</f>
        <v>21780000</v>
      </c>
      <c r="D38" s="28" t="n">
        <f aca="false">C38-B38</f>
        <v>0</v>
      </c>
      <c r="E38" s="54"/>
    </row>
    <row r="39" customFormat="false" ht="16.5" hidden="false" customHeight="true" outlineLevel="0" collapsed="false">
      <c r="A39" s="4" t="s">
        <v>302</v>
      </c>
      <c r="B39" s="48" t="n">
        <f aca="false">European_Waterfall!B66</f>
        <v>0.2</v>
      </c>
      <c r="C39" s="48" t="n">
        <f aca="false">American_Waterfall!B24/MAX(1,American_Waterfall!G24+American_Waterfall!B23-European_Waterfall!B11)</f>
        <v>5400000</v>
      </c>
      <c r="D39" s="26" t="n">
        <f aca="false">C39-B39</f>
        <v>5399999.8</v>
      </c>
      <c r="E39" s="51"/>
    </row>
    <row r="40" customFormat="false" ht="9.75" hidden="false" customHeight="true" outlineLevel="0" collapsed="false"/>
    <row r="41" customFormat="false" ht="18" hidden="false" customHeight="true" outlineLevel="0" collapsed="false">
      <c r="A41" s="3" t="s">
        <v>303</v>
      </c>
      <c r="B41" s="3"/>
      <c r="C41" s="3"/>
      <c r="D41" s="3"/>
      <c r="E41" s="3"/>
    </row>
    <row r="42" customFormat="false" ht="15.75" hidden="false" customHeight="true" outlineLevel="0" collapsed="false">
      <c r="A42" s="106" t="s">
        <v>304</v>
      </c>
      <c r="B42" s="106"/>
      <c r="C42" s="106"/>
      <c r="D42" s="106"/>
      <c r="E42" s="106"/>
    </row>
    <row r="43" customFormat="false" ht="15.75" hidden="false" customHeight="true" outlineLevel="0" collapsed="false">
      <c r="A43" s="107" t="s">
        <v>305</v>
      </c>
      <c r="B43" s="107"/>
      <c r="C43" s="107"/>
      <c r="D43" s="107"/>
      <c r="E43" s="107"/>
    </row>
    <row r="44" customFormat="false" ht="15.75" hidden="false" customHeight="true" outlineLevel="0" collapsed="false">
      <c r="A44" s="106" t="s">
        <v>306</v>
      </c>
      <c r="B44" s="106"/>
      <c r="C44" s="106"/>
      <c r="D44" s="106"/>
      <c r="E44" s="106"/>
    </row>
    <row r="45" customFormat="false" ht="15.75" hidden="false" customHeight="true" outlineLevel="0" collapsed="false">
      <c r="A45" s="107" t="s">
        <v>307</v>
      </c>
      <c r="B45" s="107"/>
      <c r="C45" s="107"/>
      <c r="D45" s="107"/>
      <c r="E45" s="107"/>
    </row>
    <row r="46" customFormat="false" ht="15.75" hidden="false" customHeight="true" outlineLevel="0" collapsed="false">
      <c r="A46" s="106" t="s">
        <v>308</v>
      </c>
      <c r="B46" s="106"/>
      <c r="C46" s="106"/>
      <c r="D46" s="106"/>
      <c r="E46" s="106"/>
    </row>
    <row r="47" customFormat="false" ht="15.75" hidden="false" customHeight="true" outlineLevel="0" collapsed="false">
      <c r="A47" s="107" t="s">
        <v>309</v>
      </c>
      <c r="B47" s="107"/>
      <c r="C47" s="107"/>
      <c r="D47" s="107"/>
      <c r="E47" s="107"/>
    </row>
    <row r="48" customFormat="false" ht="15.75" hidden="false" customHeight="true" outlineLevel="0" collapsed="false">
      <c r="A48" s="106" t="s">
        <v>310</v>
      </c>
      <c r="B48" s="106"/>
      <c r="C48" s="106"/>
      <c r="D48" s="106"/>
      <c r="E48" s="106"/>
    </row>
    <row r="49" customFormat="false" ht="15.75" hidden="false" customHeight="true" outlineLevel="0" collapsed="false">
      <c r="A49" s="107" t="s">
        <v>311</v>
      </c>
      <c r="B49" s="107"/>
      <c r="C49" s="107"/>
      <c r="D49" s="107"/>
      <c r="E49" s="107"/>
    </row>
    <row r="50" customFormat="false" ht="15.75" hidden="false" customHeight="true" outlineLevel="0" collapsed="false">
      <c r="A50" s="106" t="s">
        <v>312</v>
      </c>
      <c r="B50" s="106"/>
      <c r="C50" s="106"/>
      <c r="D50" s="106"/>
      <c r="E50" s="106"/>
    </row>
    <row r="51" customFormat="false" ht="15.75" hidden="false" customHeight="true" outlineLevel="0" collapsed="false">
      <c r="A51" s="107" t="s">
        <v>313</v>
      </c>
      <c r="B51" s="107"/>
      <c r="C51" s="107"/>
      <c r="D51" s="107"/>
      <c r="E51" s="107"/>
    </row>
  </sheetData>
  <mergeCells count="26">
    <mergeCell ref="A1:E1"/>
    <mergeCell ref="A2:E2"/>
    <mergeCell ref="A4:E4"/>
    <mergeCell ref="C6:E6"/>
    <mergeCell ref="C7:E7"/>
    <mergeCell ref="C8:E8"/>
    <mergeCell ref="C9:E9"/>
    <mergeCell ref="C11:E11"/>
    <mergeCell ref="C12:E12"/>
    <mergeCell ref="C13:E13"/>
    <mergeCell ref="C14:E14"/>
    <mergeCell ref="A16:E16"/>
    <mergeCell ref="A18:E18"/>
    <mergeCell ref="C31:E31"/>
    <mergeCell ref="A33:E33"/>
    <mergeCell ref="A41:E41"/>
    <mergeCell ref="A42:E42"/>
    <mergeCell ref="A43:E43"/>
    <mergeCell ref="A44:E44"/>
    <mergeCell ref="A45:E45"/>
    <mergeCell ref="A46:E46"/>
    <mergeCell ref="A47:E47"/>
    <mergeCell ref="A48:E48"/>
    <mergeCell ref="A49:E49"/>
    <mergeCell ref="A50:E50"/>
    <mergeCell ref="A51:E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2026-04-21T08:43:05Z</dcterms:created>
  <dc:creator>openpyxl</dc:creator>
  <dc:description/>
  <dc:language>en-US</dc:language>
  <cp:lastModifiedBy/>
  <dcterms:modified xsi:type="dcterms:W3CDTF">2026-04-21T08:45:05Z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